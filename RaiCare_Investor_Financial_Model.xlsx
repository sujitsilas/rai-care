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51a636a86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58c70f7a9447ba"/>
    <x:sheet xmlns:r="http://schemas.openxmlformats.org/officeDocument/2006/relationships" name="Revenue Model" sheetId="2" r:id="Rc3cd71013e404429"/>
    <x:sheet xmlns:r="http://schemas.openxmlformats.org/officeDocument/2006/relationships" name="Cash Flow" sheetId="3" r:id="R5728f6486bf047ed"/>
    <x:sheet xmlns:r="http://schemas.openxmlformats.org/officeDocument/2006/relationships" name="Use of Funds" sheetId="4" r:id="Rbd17fb408eaa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&quot;-&quot;"/>
    <x:numFmt numFmtId="201" formatCode="0.0%;(0.0%);&quot;-&quot;"/>
    <x:numFmt numFmtId="202" formatCode="#,##0;(#,##0);&quot;-&quot;"/>
    <x:numFmt numFmtId="203" formatCode="0"/>
    <x:numFmt numFmtId="204" formatCode="$0.00;($0.00);&quot;-&quot;"/>
    <x:numFmt numFmtId="205" formatCode="0.0"/>
  </x:numFmts>
  <x:fonts count="10">
    <x:font>
      <x:sz val="11"/>
      <x:name val="Carlito"/>
    </x:font>
    <x:font>
      <x:sz val="10"/>
      <x:color rgb="FF17212B"/>
      <x:name val="Arial"/>
    </x:font>
    <x:font>
      <x:b/>
      <x:sz val="15"/>
      <x:color rgb="FF17365D"/>
      <x:name val="Arial"/>
    </x:font>
    <x:font>
      <x:i/>
      <x:sz val="10"/>
      <x:color rgb="FF616C78"/>
      <x:name val="Arial"/>
    </x:font>
    <x:font>
      <x:b/>
      <x:sz val="10"/>
      <x:color rgb="FFFFFFFF"/>
      <x:name val="Arial"/>
    </x:font>
    <x:font>
      <x:sz val="10"/>
      <x:color rgb="FF215C98"/>
      <x:name val="Arial"/>
    </x:font>
    <x:font>
      <x:b/>
      <x:sz val="10"/>
      <x:color rgb="FF17212B"/>
      <x:name val="Arial"/>
    </x:font>
    <x:font>
      <x:sz val="10"/>
      <x:color rgb="FF287052"/>
      <x:name val="Arial"/>
    </x:font>
    <x:font>
      <x:i/>
      <x:sz val="10"/>
      <x:color rgb="FF17212B"/>
      <x:name val="Arial"/>
    </x:font>
    <x:font>
      <x:b/>
      <x:sz val="10"/>
      <x:color rgb="FF2870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/>
      <x:top style="thin">
        <x:color rgb="FF9FB1C3"/>
      </x:top>
      <x:bottom/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6" fillId="3" borderId="2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200" fontId="5" fillId="2" borderId="0" xfId="0" applyNumberFormat="1" applyFont="1" applyFill="1" applyBorder="1"/>
    <x:xf numFmtId="203" fontId="4" fillId="2" borderId="0" xfId="0" applyNumberFormat="1" applyFont="1" applyFill="1" applyBorder="1" applyAlignment="1">
      <x:alignment horizontal="center"/>
    </x:xf>
    <x:xf numFmtId="204" fontId="5" fillId="0" borderId="0" xfId="0" applyNumberFormat="1" applyFont="1" applyFill="1" applyBorder="1"/>
    <x:xf numFmtId="204" fontId="1" fillId="0" borderId="0" xfId="0" applyNumberFormat="1" applyFont="1" applyFill="1" applyBorder="1"/>
    <x:xf numFmtId="200" fontId="7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1" fillId="3" borderId="0" xfId="0" applyNumberFormat="1" applyFont="1" applyFill="1" applyBorder="1"/>
    <x:xf numFmtId="202" fontId="6" fillId="3" borderId="0" xfId="0" applyNumberFormat="1" applyFont="1" applyFill="1" applyBorder="1"/>
    <x:xf numFmtId="202" fontId="6" fillId="3" borderId="2" xfId="0" applyNumberFormat="1" applyFont="1" applyFill="1" applyBorder="1"/>
    <x:xf numFmtId="200" fontId="7" fillId="3" borderId="0" xfId="0" applyNumberFormat="1" applyFont="1" applyFill="1" applyBorder="1"/>
    <x:xf numFmtId="200" fontId="9" fillId="3" borderId="0" xfId="0" applyNumberFormat="1" applyFont="1" applyFill="1" applyBorder="1"/>
    <x:xf numFmtId="200" fontId="9" fillId="3" borderId="2" xfId="0" applyNumberFormat="1" applyFont="1" applyFill="1" applyBorder="1"/>
    <x:xf numFmtId="202" fontId="7" fillId="0" borderId="0" xfId="0" applyNumberFormat="1" applyFont="1" applyFill="1" applyBorder="1"/>
    <x:xf numFmtId="205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2727"/>
      </x:font>
      <x:fill>
        <x:patternFill patternType="solid">
          <x:bgColor rgb="FFFCE8E6"/>
        </x:patternFill>
      </x:fill>
    </x:dxf>
    <x:dxf>
      <x:font>
        <x:b/>
        <x:color rgb="FF9C2727"/>
      </x:font>
      <x:fill>
        <x:patternFill patternType="solid">
          <x:bgColor rgb="FFFCE8E6"/>
        </x:patternFill>
      </x:fill>
    </x:dxf>
    <x:dxf>
      <x:font>
        <x:b/>
        <x:color rgb="FF9C27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a1e2e3ce7444e" /><Relationship Type="http://schemas.openxmlformats.org/officeDocument/2006/relationships/theme" Target="/xl/theme/theme1.xml" Id="Rf7b49829b06c4e21" /><Relationship Type="http://schemas.openxmlformats.org/officeDocument/2006/relationships/sharedStrings" Target="/xl/sharedStrings.xml" Id="R8f679588bc444132" /><Relationship Type="http://schemas.openxmlformats.org/officeDocument/2006/relationships/worksheet" Target="/xl/worksheets/sheet1.xml" Id="R3158c70f7a9447ba" /><Relationship Type="http://schemas.openxmlformats.org/officeDocument/2006/relationships/worksheet" Target="/xl/worksheets/sheet2.xml" Id="Rc3cd71013e404429" /><Relationship Type="http://schemas.openxmlformats.org/officeDocument/2006/relationships/worksheet" Target="/xl/worksheets/sheet3.xml" Id="R5728f6486bf047ed" /><Relationship Type="http://schemas.openxmlformats.org/officeDocument/2006/relationships/worksheet" Target="/xl/worksheets/sheet4.xml" Id="Rbd17fb408eaa4b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616ab4a9ed45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($m)</c:v>
          </c:tx>
          <c:marker>
            <c:symbol val="none"/>
          </c:marker>
          <c:cat>
            <c:strRef>
              <c:f>'Summary'!$C$45:$C$49</c:f>
              <c:strCache>
                <c:ptCount val="0"/>
              </c:strCache>
            </c:strRef>
          </c:cat>
          <c:val>
            <c:numRef>
              <c:f>'Summary'!$D$45:$D$49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 ($m)</c:v>
          </c:tx>
          <c:marker>
            <c:symbol val="none"/>
          </c:marker>
          <c:cat>
            <c:strRef>
              <c:f>'Summary'!$C$45:$C$49</c:f>
              <c:strCache>
                <c:ptCount val="0"/>
              </c:strCache>
            </c:strRef>
          </c:cat>
          <c:val>
            <c:numRef>
              <c:f>'Summary'!$E$45:$E$49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43</xdr:row>
      <xdr:rowOff>0</xdr:rowOff>
    </xdr:from>
    <xdr:to>
      <xdr:col>11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616ab4a9ed45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d8ae8654ed4f8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1"/>
      <x:c r="B2" s="1"/>
      <x:c r="C2" s="3" t="str">
        <x:v>RaiCare financial outlook</x:v>
      </x:c>
      <x:c r="D2" s="4"/>
      <x:c r="E2" s="4"/>
      <x:c r="F2" s="4"/>
      <x:c r="G2" s="4"/>
      <x:c r="H2" s="4"/>
      <x:c r="I2" s="4"/>
      <x:c r="J2" s="4"/>
      <x:c r="K2" s="4"/>
    </x:row>
    <x:row r="3" ht="21" customHeight="1">
      <x:c r="A3" s="1"/>
      <x:c r="B3" s="1"/>
      <x:c r="C3" s="5"/>
      <x:c r="D3" s="6"/>
      <x:c r="E3" s="6"/>
      <x:c r="F3" s="6"/>
      <x:c r="G3" s="6"/>
      <x:c r="H3" s="6"/>
      <x:c r="I3" s="6"/>
      <x:c r="J3" s="6"/>
      <x:c r="K3" s="6"/>
    </x:row>
    <x:row r="4" ht="32" customHeight="1">
      <x:c r="A4" s="1"/>
      <x:c r="B4" s="1"/>
      <x:c r="C4" s="9" t="str">
        <x:v>October 2026. Management forecast. USD thousands except accounts, patients, patches and percentages.</x:v>
      </x:c>
      <x:c r="D4" s="10"/>
      <x:c r="E4" s="10"/>
      <x:c r="F4" s="10"/>
      <x:c r="G4" s="10"/>
      <x:c r="H4" s="10"/>
      <x:c r="I4" s="10"/>
      <x:c r="J4" s="2"/>
      <x:c r="K4" s="2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</x:row>
    <x:row r="6" ht="21" customHeight="1">
      <x:c r="A6" s="1"/>
      <x:c r="B6" s="1"/>
      <x:c r="C6" s="15" t="str">
        <x:v>Annual forecast</x:v>
      </x:c>
      <x:c r="D6" s="28" t="n">
        <x:v>2026</x:v>
      </x:c>
      <x:c r="E6" s="28" t="n">
        <x:v>2027</x:v>
      </x:c>
      <x:c r="F6" s="28" t="n">
        <x:v>2028</x:v>
      </x:c>
      <x:c r="G6" s="28" t="n">
        <x:v>2029</x:v>
      </x:c>
      <x:c r="H6" s="28" t="n">
        <x:v>2030</x:v>
      </x:c>
      <x:c r="I6" s="28" t="n">
        <x:v>2031</x:v>
      </x:c>
      <x:c r="J6" s="2"/>
      <x:c r="K6" s="2"/>
    </x:row>
    <x:row r="7" ht="21" customHeight="1">
      <x:c r="A7" s="1"/>
      <x:c r="B7" s="1"/>
      <x:c r="C7" s="1" t="str">
        <x:v>Paid accounts at year end</x:v>
      </x:c>
      <x:c r="D7" s="32" t="n">
        <x:f>'Revenue Model'!D11</x:f>
        <x:v>0</x:v>
      </x:c>
      <x:c r="E7" s="32" t="n">
        <x:f>'Revenue Model'!H11</x:f>
        <x:v>7.5</x:v>
      </x:c>
      <x:c r="F7" s="32" t="n">
        <x:f>'Revenue Model'!L11</x:f>
        <x:v>38.70546666049558</x:v>
      </x:c>
      <x:c r="G7" s="32" t="n">
        <x:f>'Revenue Model'!P11</x:f>
        <x:v>223.27002634927288</x:v>
      </x:c>
      <x:c r="H7" s="32" t="n">
        <x:f>'Revenue Model'!T11</x:f>
        <x:v>572.5791095594259</x:v>
      </x:c>
      <x:c r="I7" s="32" t="n">
        <x:f>'Revenue Model'!X11</x:f>
        <x:v>1002.95991956388</x:v>
      </x:c>
      <x:c r="J7" s="2"/>
      <x:c r="K7" s="2"/>
    </x:row>
    <x:row r="8" ht="21" customHeight="1">
      <x:c r="A8" s="1"/>
      <x:c r="B8" s="1"/>
      <x:c r="C8" s="1" t="str">
        <x:v>New patient starts</x:v>
      </x:c>
      <x:c r="D8" s="32" t="n">
        <x:f>SUM('Revenue Model'!D12:D12)</x:f>
        <x:v>0</x:v>
      </x:c>
      <x:c r="E8" s="32" t="n">
        <x:f>SUM('Revenue Model'!E12:H12)</x:f>
        <x:v>94.5</x:v>
      </x:c>
      <x:c r="F8" s="32" t="n">
        <x:f>SUM('Revenue Model'!I12:L12)</x:f>
        <x:v>3533.784141765388</x:v>
      </x:c>
      <x:c r="G8" s="32" t="n">
        <x:f>SUM('Revenue Model'!M12:P12)</x:f>
        <x:v>21022.056403568902</x:v>
      </x:c>
      <x:c r="H8" s="32" t="n">
        <x:f>SUM('Revenue Model'!Q12:T12)</x:f>
        <x:v>73695.02187632793</x:v>
      </x:c>
      <x:c r="I8" s="32" t="n">
        <x:f>SUM('Revenue Model'!U12:X12)</x:f>
        <x:v>152579.70375360863</x:v>
      </x:c>
      <x:c r="J8" s="2"/>
      <x:c r="K8" s="2"/>
    </x:row>
    <x:row r="9" ht="21" customHeight="1">
      <x:c r="A9" s="1"/>
      <x:c r="B9" s="1"/>
      <x:c r="C9" s="1" t="str">
        <x:v>Patches sold</x:v>
      </x:c>
      <x:c r="D9" s="32" t="n">
        <x:f>SUM('Revenue Model'!D14:D14)</x:f>
        <x:v>0</x:v>
      </x:c>
      <x:c r="E9" s="32" t="n">
        <x:f>SUM('Revenue Model'!E14:H14)</x:f>
        <x:v>945</x:v>
      </x:c>
      <x:c r="F9" s="32" t="n">
        <x:f>SUM('Revenue Model'!I14:L14)</x:f>
        <x:v>114277.4105123911</x:v>
      </x:c>
      <x:c r="G9" s="32" t="n">
        <x:f>SUM('Revenue Model'!M14:P14)</x:f>
        <x:v>694225.9867989607</x:v>
      </x:c>
      <x:c r="H9" s="32" t="n">
        <x:f>SUM('Revenue Model'!Q14:T14)</x:f>
        <x:v>2624031.243134845</x:v>
      </x:c>
      <x:c r="I9" s="32" t="n">
        <x:f>SUM('Revenue Model'!U14:X14)</x:f>
        <x:v>5678519.731527693</x:v>
      </x:c>
      <x:c r="J9" s="2"/>
      <x:c r="K9" s="2"/>
    </x:row>
    <x:row r="10" ht="21" customHeight="1">
      <x:c r="A10" s="1"/>
      <x:c r="B10" s="1"/>
      <x:c r="C10" s="20" t="str">
        <x:v>Product revenue</x:v>
      </x:c>
      <x:c r="D10" s="22" t="n">
        <x:f>SUM('Revenue Model'!D16:D16)</x:f>
        <x:v>0</x:v>
      </x:c>
      <x:c r="E10" s="22" t="n">
        <x:f>SUM('Revenue Model'!E16:H16)</x:f>
        <x:v>18.9</x:v>
      </x:c>
      <x:c r="F10" s="22" t="n">
        <x:f>SUM('Revenue Model'!I16:L16)</x:f>
        <x:v>2632.951538205491</x:v>
      </x:c>
      <x:c r="G10" s="22" t="n">
        <x:f>SUM('Revenue Model'!M16:P16)</x:f>
        <x:v>19632.71090667461</x:v>
      </x:c>
      <x:c r="H10" s="22" t="n">
        <x:f>SUM('Revenue Model'!Q16:T16)</x:f>
        <x:v>79245.74354267232</x:v>
      </x:c>
      <x:c r="I10" s="22" t="n">
        <x:f>SUM('Revenue Model'!U16:X16)</x:f>
        <x:v>173308.42220622522</x:v>
      </x:c>
      <x:c r="J10" s="2"/>
      <x:c r="K10" s="2"/>
    </x:row>
    <x:row r="11" ht="21" customHeight="1">
      <x:c r="A11" s="1"/>
      <x:c r="B11" s="1"/>
      <x:c r="C11" s="1" t="str">
        <x:v>Gross profit</x:v>
      </x:c>
      <x:c r="D11" s="2" t="n">
        <x:f>SUM('Revenue Model'!D18:D18)</x:f>
        <x:v>0</x:v>
      </x:c>
      <x:c r="E11" s="2" t="n">
        <x:f>SUM('Revenue Model'!E18:H18)</x:f>
        <x:v>-3.4492499999999993</x:v>
      </x:c>
      <x:c r="F11" s="2" t="n">
        <x:f>SUM('Revenue Model'!I18:L18)</x:f>
        <x:v>786.2098905406986</x:v>
      </x:c>
      <x:c r="G11" s="2" t="n">
        <x:f>SUM('Revenue Model'!M18:P18)</x:f>
        <x:v>12564.952829888012</x:v>
      </x:c>
      <x:c r="H11" s="2" t="n">
        <x:f>SUM('Revenue Model'!Q18:T18)</x:f>
        <x:v>58587.245118217834</x:v>
      </x:c>
      <x:c r="I11" s="2" t="n">
        <x:f>SUM('Revenue Model'!U18:X18)</x:f>
        <x:v>132262.94588279672</x:v>
      </x:c>
      <x:c r="J11" s="2"/>
      <x:c r="K11" s="2"/>
    </x:row>
    <x:row r="12" ht="21" customHeight="1">
      <x:c r="A12" s="1"/>
      <x:c r="B12" s="1"/>
      <x:c r="C12" s="34" t="str">
        <x:v>Gross margin</x:v>
      </x:c>
      <x:c r="D12" s="35" t="str">
        <x:f>IF(D10=0,"n.a.",D11/D10)</x:f>
        <x:v>n.a.</x:v>
      </x:c>
      <x:c r="E12" s="35" t="n">
        <x:f>IF(E10=0,"n.a.",E11/E10)</x:f>
        <x:v>-0.18249999999999997</x:v>
      </x:c>
      <x:c r="F12" s="35" t="n">
        <x:f>IF(F10=0,"n.a.",F11/F10)</x:f>
        <x:v>0.2986040111761974</x:v>
      </x:c>
      <x:c r="G12" s="35" t="n">
        <x:f>IF(G10=0,"n.a.",G11/G10)</x:f>
        <x:v>0.6400009091773595</x:v>
      </x:c>
      <x:c r="H12" s="35" t="n">
        <x:f>IF(H10=0,"n.a.",H11/H10)</x:f>
        <x:v>0.7393109396048473</x:v>
      </x:c>
      <x:c r="I12" s="35" t="n">
        <x:f>IF(I10=0,"n.a.",I11/I10)</x:f>
        <x:v>0.7631651376146787</x:v>
      </x:c>
      <x:c r="J12" s="2"/>
      <x:c r="K12" s="2"/>
    </x:row>
    <x:row r="13" ht="21" customHeight="1">
      <x:c r="A13" s="1"/>
      <x:c r="B13" s="1"/>
      <x:c r="C13" s="1" t="str">
        <x:v>Operating expenses</x:v>
      </x:c>
      <x:c r="D13" s="2" t="n">
        <x:f>SUM('Cash Flow'!D18:D18)</x:f>
        <x:v>-123</x:v>
      </x:c>
      <x:c r="E13" s="2" t="n">
        <x:f>SUM('Cash Flow'!E18:H18)</x:f>
        <x:v>-1007.822</x:v>
      </x:c>
      <x:c r="F13" s="2" t="n">
        <x:f>SUM('Cash Flow'!I18:L18)</x:f>
        <x:v>-2909.0932479437233</x:v>
      </x:c>
      <x:c r="G13" s="2" t="n">
        <x:f>SUM('Cash Flow'!M18:P18)</x:f>
        <x:v>-11690.891466061737</x:v>
      </x:c>
      <x:c r="H13" s="2" t="n">
        <x:f>SUM('Cash Flow'!Q18:T18)</x:f>
        <x:v>-24384.584929166667</x:v>
      </x:c>
      <x:c r="I13" s="2" t="n">
        <x:f>SUM('Cash Flow'!U18:X18)</x:f>
        <x:v>-34978.707500000004</x:v>
      </x:c>
      <x:c r="J13" s="2"/>
      <x:c r="K13" s="2"/>
    </x:row>
    <x:row r="14" ht="21" customHeight="1">
      <x:c r="A14" s="1"/>
      <x:c r="B14" s="1"/>
      <x:c r="C14" s="20" t="str">
        <x:v>EBITDA</x:v>
      </x:c>
      <x:c r="D14" s="22" t="n">
        <x:f>SUM('Cash Flow'!D19:D19)</x:f>
        <x:v>-123</x:v>
      </x:c>
      <x:c r="E14" s="22" t="n">
        <x:f>SUM('Cash Flow'!E19:H19)</x:f>
        <x:v>-1011.27125</x:v>
      </x:c>
      <x:c r="F14" s="22" t="n">
        <x:f>SUM('Cash Flow'!I19:L19)</x:f>
        <x:v>-2122.8833574030245</x:v>
      </x:c>
      <x:c r="G14" s="22" t="n">
        <x:f>SUM('Cash Flow'!M19:P19)</x:f>
        <x:v>874.0613638262757</x:v>
      </x:c>
      <x:c r="H14" s="22" t="n">
        <x:f>SUM('Cash Flow'!Q19:T19)</x:f>
        <x:v>34202.66018905117</x:v>
      </x:c>
      <x:c r="I14" s="22" t="n">
        <x:f>SUM('Cash Flow'!U19:X19)</x:f>
        <x:v>97284.23838279676</x:v>
      </x:c>
      <x:c r="J14" s="2"/>
      <x:c r="K14" s="2"/>
    </x:row>
    <x:row r="15" ht="21" customHeight="1">
      <x:c r="A15" s="1"/>
      <x:c r="B15" s="1"/>
      <x:c r="C15" s="34" t="str">
        <x:v>EBITDA margin</x:v>
      </x:c>
      <x:c r="D15" s="35" t="str">
        <x:f>IF(D10=0,"n.a.",D14/D10)</x:f>
        <x:v>n.a.</x:v>
      </x:c>
      <x:c r="E15" s="35" t="n">
        <x:f>IF(E10=0,"n.a.",E14/E10)</x:f>
        <x:v>-53.50641534391535</x:v>
      </x:c>
      <x:c r="F15" s="35" t="n">
        <x:f>IF(F10=0,"n.a.",F14/F10)</x:f>
        <x:v>-0.8062751351853185</x:v>
      </x:c>
      <x:c r="G15" s="35" t="n">
        <x:f>IF(G10=0,"n.a.",G14/G10)</x:f>
        <x:v>0.04452066594273121</x:v>
      </x:c>
      <x:c r="H15" s="35" t="n">
        <x:f>IF(H10=0,"n.a.",H14/H10)</x:f>
        <x:v>0.43160248942119755</x:v>
      </x:c>
      <x:c r="I15" s="35" t="n">
        <x:f>IF(I10=0,"n.a.",I14/I10)</x:f>
        <x:v>0.561335895534466</x:v>
      </x:c>
      <x:c r="J15" s="2"/>
      <x:c r="K15" s="2"/>
    </x:row>
    <x:row r="16" ht="21" customHeight="1">
      <x:c r="A16" s="1"/>
      <x:c r="B16" s="1"/>
      <x:c r="C16" s="1" t="str">
        <x:v>Free cash flow</x:v>
      </x:c>
      <x:c r="D16" s="2" t="n">
        <x:f>SUM('Cash Flow'!D33:D33)</x:f>
        <x:v>-123</x:v>
      </x:c>
      <x:c r="E16" s="2" t="n">
        <x:f>SUM('Cash Flow'!E33:H33)</x:f>
        <x:v>-1018.8720273972604</x:v>
      </x:c>
      <x:c r="F16" s="2" t="n">
        <x:f>SUM('Cash Flow'!I33:L33)</x:f>
        <x:v>-2844.6914981320538</x:v>
      </x:c>
      <x:c r="G16" s="2" t="n">
        <x:f>SUM('Cash Flow'!M33:P33)</x:f>
        <x:v>-4992.757403174957</x:v>
      </x:c>
      <x:c r="H16" s="2" t="n">
        <x:f>SUM('Cash Flow'!Q33:T33)</x:f>
        <x:v>6732.032165835649</x:v>
      </x:c>
      <x:c r="I16" s="2" t="n">
        <x:f>SUM('Cash Flow'!U33:X33)</x:f>
        <x:v>46071.81846989625</x:v>
      </x:c>
      <x:c r="J16" s="2"/>
      <x:c r="K16" s="2"/>
    </x:row>
    <x:row r="17" ht="21" customHeight="1">
      <x:c r="A17" s="1"/>
      <x:c r="B17" s="1"/>
      <x:c r="C17" s="1" t="str">
        <x:v>Financing targets</x:v>
      </x:c>
      <x:c r="D17" s="2" t="n">
        <x:f>SUM('Cash Flow'!D40:D40)</x:f>
        <x:v>250</x:v>
      </x:c>
      <x:c r="E17" s="2" t="n">
        <x:f>SUM('Cash Flow'!E40:H40)</x:f>
        <x:v>2500</x:v>
      </x:c>
      <x:c r="F17" s="2" t="n">
        <x:f>SUM('Cash Flow'!I40:L40)</x:f>
        <x:v>9500</x:v>
      </x:c>
      <x:c r="G17" s="2" t="n">
        <x:f>SUM('Cash Flow'!M40:P40)</x:f>
        <x:v>0</x:v>
      </x:c>
      <x:c r="H17" s="2" t="n">
        <x:f>SUM('Cash Flow'!Q40:T40)</x:f>
        <x:v>0</x:v>
      </x:c>
      <x:c r="I17" s="2" t="n">
        <x:f>SUM('Cash Flow'!U40:X40)</x:f>
        <x:v>0</x:v>
      </x:c>
      <x:c r="J17" s="2"/>
      <x:c r="K17" s="2"/>
    </x:row>
    <x:row r="18" ht="21" customHeight="1">
      <x:c r="A18" s="1"/>
      <x:c r="B18" s="1"/>
      <x:c r="C18" s="20" t="str">
        <x:v>Year-end cash with planned financing</x:v>
      </x:c>
      <x:c r="D18" s="22" t="n">
        <x:f>'Cash Flow'!D41</x:f>
        <x:v>127</x:v>
      </x:c>
      <x:c r="E18" s="22" t="n">
        <x:f>'Cash Flow'!H41</x:f>
        <x:v>1608.1279726027396</x:v>
      </x:c>
      <x:c r="F18" s="22" t="n">
        <x:f>'Cash Flow'!L41</x:f>
        <x:v>8263.436474470685</x:v>
      </x:c>
      <x:c r="G18" s="22" t="n">
        <x:f>'Cash Flow'!P41</x:f>
        <x:v>3270.679071295727</x:v>
      </x:c>
      <x:c r="H18" s="22" t="n">
        <x:f>'Cash Flow'!T41</x:f>
        <x:v>10002.711237131376</x:v>
      </x:c>
      <x:c r="I18" s="22" t="n">
        <x:f>'Cash Flow'!X41</x:f>
        <x:v>56074.52970702763</x:v>
      </x:c>
      <x:c r="J18" s="2"/>
      <x:c r="K18" s="2"/>
    </x:row>
    <x:row r="19" ht="21" customHeight="1">
      <x:c r="A19" s="1"/>
      <x:c r="B19" s="1"/>
      <x:c r="C19" s="1" t="str">
        <x:v>Average paid FTE</x:v>
      </x:c>
      <x:c r="D19" s="2" t="n">
        <x:f>AVERAGE('Cash Flow'!D88:D88)</x:f>
        <x:v>0</x:v>
      </x:c>
      <x:c r="E19" s="2" t="n">
        <x:f>AVERAGE('Cash Flow'!E88:H88)</x:f>
        <x:v>0</x:v>
      </x:c>
      <x:c r="F19" s="2" t="n">
        <x:f>AVERAGE('Cash Flow'!I88:L88)</x:f>
        <x:v>8</x:v>
      </x:c>
      <x:c r="G19" s="2" t="n">
        <x:f>AVERAGE('Cash Flow'!M88:P88)</x:f>
        <x:v>39</x:v>
      </x:c>
      <x:c r="H19" s="2" t="n">
        <x:f>AVERAGE('Cash Flow'!Q88:T88)</x:f>
        <x:v>74.5</x:v>
      </x:c>
      <x:c r="I19" s="2" t="n">
        <x:f>AVERAGE('Cash Flow'!U88:X88)</x:f>
        <x:v>109</x:v>
      </x:c>
      <x:c r="J19" s="2"/>
      <x:c r="K19" s="2"/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1"/>
      <x:c r="B22" s="1"/>
      <x:c r="C22" s="13" t="str">
        <x:v>Current financing plan</x:v>
      </x:c>
      <x:c r="D22" s="14"/>
      <x:c r="E22" s="14"/>
      <x:c r="F22" s="14"/>
      <x:c r="G22" s="14"/>
      <x:c r="H22" s="14"/>
      <x:c r="I22" s="14"/>
      <x:c r="J22" s="2"/>
      <x:c r="K22" s="2"/>
    </x:row>
    <x:row r="23" ht="21" customHeight="1">
      <x:c r="A23" s="1"/>
      <x:c r="B23" s="1"/>
      <x:c r="C23" s="1" t="str">
        <x:v>Tranche 1 target</x:v>
      </x:c>
      <x:c r="D23" s="2" t="n">
        <x:f>'Use of Funds'!D32</x:f>
        <x:v>250</x:v>
      </x:c>
      <x:c r="E23" s="2"/>
      <x:c r="F23" s="2"/>
      <x:c r="G23" s="2"/>
      <x:c r="H23" s="2"/>
      <x:c r="I23" s="2"/>
      <x:c r="J23" s="2"/>
      <x:c r="K23" s="2"/>
    </x:row>
    <x:row r="24" ht="21" customHeight="1">
      <x:c r="A24" s="1"/>
      <x:c r="B24" s="1"/>
      <x:c r="C24" s="1" t="str">
        <x:v>Tranche 2 target</x:v>
      </x:c>
      <x:c r="D24" s="2" t="n">
        <x:f>'Use of Funds'!D33</x:f>
        <x:v>1000</x:v>
      </x:c>
      <x:c r="E24" s="2"/>
      <x:c r="F24" s="2"/>
      <x:c r="G24" s="2"/>
      <x:c r="H24" s="2"/>
      <x:c r="I24" s="2"/>
      <x:c r="J24" s="2"/>
      <x:c r="K24" s="2"/>
    </x:row>
    <x:row r="25" ht="21" customHeight="1">
      <x:c r="A25" s="1"/>
      <x:c r="B25" s="1"/>
      <x:c r="C25" s="20" t="str">
        <x:v>Total current financing target</x:v>
      </x:c>
      <x:c r="D25" s="22" t="n">
        <x:f>'Use of Funds'!D31</x:f>
        <x:v>1250</x:v>
      </x:c>
      <x:c r="E25" s="2"/>
      <x:c r="F25" s="2"/>
      <x:c r="G25" s="2"/>
      <x:c r="H25" s="2"/>
      <x:c r="I25" s="2"/>
      <x:c r="J25" s="2"/>
      <x:c r="K25" s="2"/>
    </x:row>
    <x:row r="26" ht="21" customHeight="1">
      <x:c r="A26" s="1"/>
      <x:c r="B26" s="1"/>
      <x:c r="C26" s="1" t="str">
        <x:v>Existing commitments included in target</x:v>
      </x:c>
      <x:c r="D26" s="2" t="n">
        <x:f>'Cash Flow'!D115</x:f>
        <x:v>150</x:v>
      </x:c>
      <x:c r="E26" s="2"/>
      <x:c r="F26" s="2"/>
      <x:c r="G26" s="2"/>
      <x:c r="H26" s="2"/>
      <x:c r="I26" s="2"/>
      <x:c r="J26" s="2"/>
      <x:c r="K26" s="2"/>
    </x:row>
    <x:row r="27" ht="21" customHeight="1">
      <x:c r="A27" s="1"/>
      <x:c r="B27" s="1"/>
      <x:c r="C27" s="1" t="str">
        <x:v>Early tranche 2 funding required in Q2 2027</x:v>
      </x:c>
      <x:c r="D27" s="2" t="n">
        <x:f>'Cash Flow'!D103</x:f>
        <x:v>199</x:v>
      </x:c>
      <x:c r="E27" s="2"/>
      <x:c r="F27" s="2"/>
      <x:c r="G27" s="2"/>
      <x:c r="H27" s="2"/>
      <x:c r="I27" s="2"/>
      <x:c r="J27" s="2"/>
      <x:c r="K27" s="2"/>
    </x:row>
    <x:row r="28" ht="21" customHeight="1">
      <x:c r="A28" s="1"/>
      <x:c r="B28" s="1"/>
      <x:c r="C28" s="1" t="str">
        <x:v>Remaining tranche 2 target after study review</x:v>
      </x:c>
      <x:c r="D28" s="2" t="n">
        <x:f>'Use of Funds'!D33-'Cash Flow'!D103</x:f>
        <x:v>801</x:v>
      </x:c>
      <x:c r="E28" s="2"/>
      <x:c r="F28" s="2"/>
      <x:c r="G28" s="2"/>
      <x:c r="H28" s="2"/>
      <x:c r="I28" s="2"/>
      <x:c r="J28" s="2"/>
      <x:c r="K28" s="2"/>
    </x:row>
    <x:row r="29" ht="21" customHeight="1">
      <x:c r="A29" s="1"/>
      <x:c r="B29" s="1"/>
      <x:c r="C29" s="1" t="str">
        <x:v>Contingency included in the budget</x:v>
      </x:c>
      <x:c r="D29" s="2" t="n">
        <x:f>SUM('Use of Funds'!D19,'Use of Funds'!D29)</x:f>
        <x:v>131</x:v>
      </x:c>
      <x:c r="E29" s="2"/>
      <x:c r="F29" s="2"/>
      <x:c r="G29" s="2"/>
      <x:c r="H29" s="2"/>
      <x:c r="I29" s="2"/>
      <x:c r="J29" s="2"/>
      <x:c r="K29" s="2"/>
    </x:row>
    <x:row r="30" ht="21" customHeight="1">
      <x:c r="A30" s="1"/>
      <x:c r="B30" s="1"/>
      <x:c r="C30" s="1" t="str">
        <x:v>Inventory and launch working-capital allocation</x:v>
      </x:c>
      <x:c r="D30" s="2" t="n">
        <x:f>'Use of Funds'!D28</x:f>
        <x:v>150</x:v>
      </x:c>
      <x:c r="E30" s="2"/>
      <x:c r="F30" s="2"/>
      <x:c r="G30" s="2"/>
      <x:c r="H30" s="2"/>
      <x:c r="I30" s="2"/>
      <x:c r="J30" s="2"/>
      <x:c r="K30" s="2"/>
    </x:row>
    <x:row r="31" ht="21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</x:row>
    <x:row r="32" ht="32" customHeight="1">
      <x:c r="A32" s="1"/>
      <x:c r="B32" s="1"/>
      <x:c r="C32" s="9" t="str">
        <x:v>The quarterly spending schedule requires advance tranche-2 funding before the 30-patient review.</x:v>
      </x:c>
      <x:c r="D32" s="10"/>
      <x:c r="E32" s="10"/>
      <x:c r="F32" s="10"/>
      <x:c r="G32" s="10"/>
      <x:c r="H32" s="10"/>
      <x:c r="I32" s="10"/>
      <x:c r="J32" s="2"/>
      <x:c r="K32" s="2"/>
    </x:row>
    <x:row r="33" ht="32" customHeight="1">
      <x:c r="A33" s="1"/>
      <x:c r="B33" s="1"/>
      <x:c r="C33" s="9" t="str">
        <x:v>This is a funding requirement, not a secured commitment. Without advance funding, the regulatory work and launch schedule move.</x:v>
      </x:c>
      <x:c r="D33" s="10"/>
      <x:c r="E33" s="10"/>
      <x:c r="F33" s="10"/>
      <x:c r="G33" s="10"/>
      <x:c r="H33" s="10"/>
      <x:c r="I33" s="10"/>
      <x:c r="J33" s="2"/>
      <x:c r="K33" s="2"/>
    </x:row>
    <x:row r="34" ht="32" customHeight="1">
      <x:c r="A34" s="1"/>
      <x:c r="B34" s="1"/>
      <x:c r="C34" s="9" t="str">
        <x:v>The forecast includes $5 million of planned seed financing and $6 million of planned Series A financing for commercial expansion.</x:v>
      </x:c>
      <x:c r="D34" s="10"/>
      <x:c r="E34" s="10"/>
      <x:c r="F34" s="10"/>
      <x:c r="G34" s="10"/>
      <x:c r="H34" s="10"/>
      <x:c r="I34" s="10"/>
      <x:c r="J34" s="2"/>
      <x:c r="K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1"/>
      <x:c r="B37" s="1"/>
      <x:c r="C37" s="13" t="str">
        <x:v>Commercial model</x:v>
      </x:c>
      <x:c r="D37" s="14"/>
      <x:c r="E37" s="14"/>
      <x:c r="F37" s="14"/>
      <x:c r="G37" s="14"/>
      <x:c r="H37" s="14"/>
      <x:c r="I37" s="14"/>
      <x:c r="J37" s="2"/>
      <x:c r="K37" s="2"/>
    </x:row>
    <x:row r="38" ht="32" customHeight="1">
      <x:c r="A38" s="1"/>
      <x:c r="B38" s="1"/>
      <x:c r="C38" s="9" t="str">
        <x:v>Five-patch bundles: $100 introductory price and $200 list price. Revenue reflects account conversion, patient use and channel discounts.</x:v>
      </x:c>
      <x:c r="D38" s="10"/>
      <x:c r="E38" s="10"/>
      <x:c r="F38" s="10"/>
      <x:c r="G38" s="10"/>
      <x:c r="H38" s="10"/>
      <x:c r="I38" s="10"/>
      <x:c r="J38" s="2"/>
      <x:c r="K38" s="2"/>
    </x:row>
    <x:row r="39" ht="32" customHeight="1">
      <x:c r="A39" s="1"/>
      <x:c r="B39" s="1"/>
      <x:c r="C39" s="9" t="str">
        <x:v>The December 2027 launch assumption includes one month of sales after clearance. All sold units carry manufacturing cost.</x:v>
      </x:c>
      <x:c r="D39" s="10"/>
      <x:c r="E39" s="10"/>
      <x:c r="F39" s="10"/>
      <x:c r="G39" s="10"/>
      <x:c r="H39" s="10"/>
      <x:c r="I39" s="10"/>
      <x:c r="J39" s="2"/>
      <x:c r="K39" s="2"/>
    </x:row>
    <x:row r="40" ht="32" customHeight="1">
      <x:c r="A40" s="1"/>
      <x:c r="B40" s="1"/>
      <x:c r="C40" s="9" t="str">
        <x:v>Tranche 1 funds the full N=30 feasibility study. First-five results support fundraising; the 30-patient review governs deferred funding.</x:v>
      </x:c>
      <x:c r="D40" s="10"/>
      <x:c r="E40" s="10"/>
      <x:c r="F40" s="10"/>
      <x:c r="G40" s="10"/>
      <x:c r="H40" s="10"/>
      <x:c r="I40" s="10"/>
      <x:c r="J40" s="2"/>
      <x:c r="K40" s="2"/>
    </x:row>
    <x:row r="41" ht="32" customHeight="1">
      <x:c r="A41" s="1"/>
      <x:c r="B41" s="1"/>
      <x:c r="C41" s="9" t="str">
        <x:v>The forecast includes $200,000 of UCLA milestone payments. $50,000 is in the use-of-funds budget; $150,000 is additional.</x:v>
      </x:c>
      <x:c r="D41" s="10"/>
      <x:c r="E41" s="10"/>
      <x:c r="F41" s="10"/>
      <x:c r="G41" s="10"/>
      <x:c r="H41" s="10"/>
      <x:c r="I41" s="10"/>
      <x:c r="J41" s="2"/>
      <x:c r="K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</x:row>
    <x:row r="44" ht="21" customHeight="1">
      <x:c r="A44" s="1"/>
      <x:c r="B44" s="1"/>
      <x:c r="C44" s="13" t="str">
        <x:v>Year</x:v>
      </x:c>
      <x:c r="D44" s="14" t="str">
        <x:v>Revenue ($m)</x:v>
      </x:c>
      <x:c r="E44" s="14" t="str">
        <x:v>EBITDA ($m)</x:v>
      </x:c>
      <x:c r="F44" s="2"/>
      <x:c r="G44" s="2"/>
      <x:c r="H44" s="2"/>
      <x:c r="I44" s="2"/>
      <x:c r="J44" s="2"/>
      <x:c r="K44" s="2"/>
    </x:row>
    <x:row r="45" ht="21" customHeight="1">
      <x:c r="A45" s="1"/>
      <x:c r="B45" s="1"/>
      <x:c r="C45" s="44" t="n">
        <x:v>2027</x:v>
      </x:c>
      <x:c r="D45" s="43" t="n">
        <x:f>E10/1000</x:f>
        <x:v>0.0189</x:v>
      </x:c>
      <x:c r="E45" s="43" t="n">
        <x:f>E14/1000</x:f>
        <x:v>-1.01127125</x:v>
      </x:c>
      <x:c r="F45" s="2"/>
      <x:c r="G45" s="2"/>
      <x:c r="H45" s="2"/>
      <x:c r="I45" s="2"/>
      <x:c r="J45" s="2"/>
      <x:c r="K45" s="2"/>
    </x:row>
    <x:row r="46" ht="21" customHeight="1">
      <x:c r="A46" s="1"/>
      <x:c r="B46" s="1"/>
      <x:c r="C46" s="44" t="n">
        <x:v>2028</x:v>
      </x:c>
      <x:c r="D46" s="43" t="n">
        <x:f>F10/1000</x:f>
        <x:v>2.632951538205491</x:v>
      </x:c>
      <x:c r="E46" s="43" t="n">
        <x:f>F14/1000</x:f>
        <x:v>-2.1228833574030244</x:v>
      </x:c>
      <x:c r="F46" s="2"/>
      <x:c r="G46" s="2"/>
      <x:c r="H46" s="2"/>
      <x:c r="I46" s="2"/>
      <x:c r="J46" s="2"/>
      <x:c r="K46" s="2"/>
    </x:row>
    <x:row r="47" ht="21" customHeight="1">
      <x:c r="A47" s="1"/>
      <x:c r="B47" s="1"/>
      <x:c r="C47" s="44" t="n">
        <x:v>2029</x:v>
      </x:c>
      <x:c r="D47" s="43" t="n">
        <x:f>G10/1000</x:f>
        <x:v>19.63271090667461</x:v>
      </x:c>
      <x:c r="E47" s="43" t="n">
        <x:f>G14/1000</x:f>
        <x:v>0.8740613638262758</x:v>
      </x:c>
      <x:c r="F47" s="2"/>
      <x:c r="G47" s="2"/>
      <x:c r="H47" s="2"/>
      <x:c r="I47" s="2"/>
      <x:c r="J47" s="2"/>
      <x:c r="K47" s="2"/>
    </x:row>
    <x:row r="48" ht="21" customHeight="1">
      <x:c r="A48" s="1"/>
      <x:c r="B48" s="1"/>
      <x:c r="C48" s="44" t="n">
        <x:v>2030</x:v>
      </x:c>
      <x:c r="D48" s="43" t="n">
        <x:f>H10/1000</x:f>
        <x:v>79.24574354267233</x:v>
      </x:c>
      <x:c r="E48" s="43" t="n">
        <x:f>H14/1000</x:f>
        <x:v>34.202660189051166</x:v>
      </x:c>
      <x:c r="F48" s="2"/>
      <x:c r="G48" s="2"/>
      <x:c r="H48" s="2"/>
      <x:c r="I48" s="2"/>
      <x:c r="J48" s="2"/>
      <x:c r="K48" s="2"/>
    </x:row>
    <x:row r="49" ht="21" customHeight="1">
      <x:c r="A49" s="1"/>
      <x:c r="B49" s="1"/>
      <x:c r="C49" s="44" t="n">
        <x:v>2031</x:v>
      </x:c>
      <x:c r="D49" s="43" t="n">
        <x:f>I10/1000</x:f>
        <x:v>173.30842220622523</x:v>
      </x:c>
      <x:c r="E49" s="43" t="n">
        <x:f>I14/1000</x:f>
        <x:v>97.28423838279676</x:v>
      </x:c>
      <x:c r="F49" s="2"/>
      <x:c r="G49" s="2"/>
      <x:c r="H49" s="2"/>
      <x:c r="I49" s="2"/>
      <x:c r="J49" s="2"/>
      <x:c r="K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</x:row>
  </x:sheetData>
  <x:mergeCells>
    <x:mergeCell ref="C4:I4"/>
    <x:mergeCell ref="C32:I32"/>
    <x:mergeCell ref="C33:I33"/>
    <x:mergeCell ref="C34:I34"/>
    <x:mergeCell ref="C38:I38"/>
    <x:mergeCell ref="C39:I39"/>
    <x:mergeCell ref="C40:I40"/>
    <x:mergeCell ref="C41:I41"/>
  </x:mergeCells>
  <x:pageMargins left="0.7" right="0.7" top="0.75" bottom="0.75" header="0.3" footer="0.3"/>
  <x:drawing xmlns:r="http://schemas.openxmlformats.org/officeDocument/2006/relationships" r:id="Rcad8ae8654ed4f8b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1" customHeight="1">
      <x:c r="A2" s="1"/>
      <x:c r="B2" s="1"/>
      <x:c r="C2" s="3" t="str">
        <x:v>RaiCare revenue model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 ht="21" customHeight="1">
      <x:c r="A3" s="1"/>
      <x:c r="B3" s="1"/>
      <x:c r="C3" s="5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 ht="32" customHeight="1">
      <x:c r="A4" s="1"/>
      <x:c r="B4" s="1"/>
      <x:c r="C4" s="9" t="str">
        <x:v>USD thousands except accounts, patients, patches, prices and percentages. Blue numbers are editable assumptions.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1" customHeight="1">
      <x:c r="A6" s="1"/>
      <x:c r="B6" s="1"/>
      <x:c r="C6" s="15" t="str">
        <x:v>Forecast quarter</x:v>
      </x:c>
      <x:c r="D6" s="16" t="str">
        <x:v>Q4:26</x:v>
      </x:c>
      <x:c r="E6" s="16" t="str">
        <x:v>Q1:27</x:v>
      </x:c>
      <x:c r="F6" s="16" t="str">
        <x:v>Q2:27</x:v>
      </x:c>
      <x:c r="G6" s="16" t="str">
        <x:v>Q3:27</x:v>
      </x:c>
      <x:c r="H6" s="16" t="str">
        <x:v>Q4:27</x:v>
      </x:c>
      <x:c r="I6" s="16" t="str">
        <x:v>Q1:28</x:v>
      </x:c>
      <x:c r="J6" s="16" t="str">
        <x:v>Q2:28</x:v>
      </x:c>
      <x:c r="K6" s="16" t="str">
        <x:v>Q3:28</x:v>
      </x:c>
      <x:c r="L6" s="16" t="str">
        <x:v>Q4:28</x:v>
      </x:c>
      <x:c r="M6" s="16" t="str">
        <x:v>Q1:29</x:v>
      </x:c>
      <x:c r="N6" s="16" t="str">
        <x:v>Q2:29</x:v>
      </x:c>
      <x:c r="O6" s="16" t="str">
        <x:v>Q3:29</x:v>
      </x:c>
      <x:c r="P6" s="16" t="str">
        <x:v>Q4:29</x:v>
      </x:c>
      <x:c r="Q6" s="16" t="str">
        <x:v>Q1:30</x:v>
      </x:c>
      <x:c r="R6" s="16" t="str">
        <x:v>Q2:30</x:v>
      </x:c>
      <x:c r="S6" s="16" t="str">
        <x:v>Q3:30</x:v>
      </x:c>
      <x:c r="T6" s="16" t="str">
        <x:v>Q4:30</x:v>
      </x:c>
      <x:c r="U6" s="16" t="str">
        <x:v>Q1:31</x:v>
      </x:c>
      <x:c r="V6" s="16" t="str">
        <x:v>Q2:31</x:v>
      </x:c>
      <x:c r="W6" s="16" t="str">
        <x:v>Q3:31</x:v>
      </x:c>
      <x:c r="X6" s="16" t="str">
        <x:v>Q4:31</x:v>
      </x:c>
    </x:row>
    <x:row r="7" ht="21" customHeight="1">
      <x:c r="A7" s="1"/>
      <x:c r="B7" s="1"/>
      <x:c r="C7" s="1" t="str">
        <x:v>Commercial months</x:v>
      </x:c>
      <x:c r="D7" s="2" t="n">
        <x:f>IF(1&lt;$D$75,0,IF(1=$D$75,$D$76,3))</x:f>
        <x:v>0</x:v>
      </x:c>
      <x:c r="E7" s="2" t="n">
        <x:f>IF(2&lt;$D$75,0,IF(2=$D$75,$D$76,3))</x:f>
        <x:v>0</x:v>
      </x:c>
      <x:c r="F7" s="2" t="n">
        <x:f>IF(3&lt;$D$75,0,IF(3=$D$75,$D$76,3))</x:f>
        <x:v>0</x:v>
      </x:c>
      <x:c r="G7" s="2" t="n">
        <x:f>IF(4&lt;$D$75,0,IF(4=$D$75,$D$76,3))</x:f>
        <x:v>0</x:v>
      </x:c>
      <x:c r="H7" s="2" t="n">
        <x:f>IF(5&lt;$D$75,0,IF(5=$D$75,$D$76,3))</x:f>
        <x:v>1</x:v>
      </x:c>
      <x:c r="I7" s="2" t="n">
        <x:f>IF(6&lt;$D$75,0,IF(6=$D$75,$D$76,3))</x:f>
        <x:v>3</x:v>
      </x:c>
      <x:c r="J7" s="2" t="n">
        <x:f>IF(7&lt;$D$75,0,IF(7=$D$75,$D$76,3))</x:f>
        <x:v>3</x:v>
      </x:c>
      <x:c r="K7" s="2" t="n">
        <x:f>IF(8&lt;$D$75,0,IF(8=$D$75,$D$76,3))</x:f>
        <x:v>3</x:v>
      </x:c>
      <x:c r="L7" s="2" t="n">
        <x:f>IF(9&lt;$D$75,0,IF(9=$D$75,$D$76,3))</x:f>
        <x:v>3</x:v>
      </x:c>
      <x:c r="M7" s="2" t="n">
        <x:f>IF(10&lt;$D$75,0,IF(10=$D$75,$D$76,3))</x:f>
        <x:v>3</x:v>
      </x:c>
      <x:c r="N7" s="2" t="n">
        <x:f>IF(11&lt;$D$75,0,IF(11=$D$75,$D$76,3))</x:f>
        <x:v>3</x:v>
      </x:c>
      <x:c r="O7" s="2" t="n">
        <x:f>IF(12&lt;$D$75,0,IF(12=$D$75,$D$76,3))</x:f>
        <x:v>3</x:v>
      </x:c>
      <x:c r="P7" s="2" t="n">
        <x:f>IF(13&lt;$D$75,0,IF(13=$D$75,$D$76,3))</x:f>
        <x:v>3</x:v>
      </x:c>
      <x:c r="Q7" s="2" t="n">
        <x:f>IF(14&lt;$D$75,0,IF(14=$D$75,$D$76,3))</x:f>
        <x:v>3</x:v>
      </x:c>
      <x:c r="R7" s="2" t="n">
        <x:f>IF(15&lt;$D$75,0,IF(15=$D$75,$D$76,3))</x:f>
        <x:v>3</x:v>
      </x:c>
      <x:c r="S7" s="2" t="n">
        <x:f>IF(16&lt;$D$75,0,IF(16=$D$75,$D$76,3))</x:f>
        <x:v>3</x:v>
      </x:c>
      <x:c r="T7" s="2" t="n">
        <x:f>IF(17&lt;$D$75,0,IF(17=$D$75,$D$76,3))</x:f>
        <x:v>3</x:v>
      </x:c>
      <x:c r="U7" s="2" t="n">
        <x:f>IF(18&lt;$D$75,0,IF(18=$D$75,$D$76,3))</x:f>
        <x:v>3</x:v>
      </x:c>
      <x:c r="V7" s="2" t="n">
        <x:f>IF(19&lt;$D$75,0,IF(19=$D$75,$D$76,3))</x:f>
        <x:v>3</x:v>
      </x:c>
      <x:c r="W7" s="2" t="n">
        <x:f>IF(20&lt;$D$75,0,IF(20=$D$75,$D$76,3))</x:f>
        <x:v>3</x:v>
      </x:c>
      <x:c r="X7" s="2" t="n">
        <x:f>IF(21&lt;$D$75,0,IF(21=$D$75,$D$76,3))</x:f>
        <x:v>3</x:v>
      </x:c>
    </x:row>
    <x:row r="8" ht="21" customHeight="1">
      <x:c r="A8" s="1"/>
      <x:c r="B8" s="1"/>
      <x:c r="C8" s="1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21" customHeight="1">
      <x:c r="A9" s="1"/>
      <x:c r="B9" s="1"/>
      <x:c r="C9" s="1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23" customHeight="1">
      <x:c r="A10" s="1"/>
      <x:c r="B10" s="1"/>
      <x:c r="C10" s="13" t="str">
        <x:v>Commercial forecast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</x:row>
    <x:row r="11" ht="21" customHeight="1">
      <x:c r="A11" s="1"/>
      <x:c r="B11" s="1"/>
      <x:c r="C11" s="20" t="str">
        <x:v>Paid accounts at quarter end</x:v>
      </x:c>
      <x:c r="D11" s="38" t="n">
        <x:f>SUM(D33,D39,D45,D50)</x:f>
        <x:v>0</x:v>
      </x:c>
      <x:c r="E11" s="38" t="n">
        <x:f>SUM(E33,E39,E45,E50)</x:f>
        <x:v>0</x:v>
      </x:c>
      <x:c r="F11" s="38" t="n">
        <x:f>SUM(F33,F39,F45,F50)</x:f>
        <x:v>0</x:v>
      </x:c>
      <x:c r="G11" s="38" t="n">
        <x:f>SUM(G33,G39,G45,G50)</x:f>
        <x:v>0</x:v>
      </x:c>
      <x:c r="H11" s="38" t="n">
        <x:f>SUM(H33,H39,H45,H50)</x:f>
        <x:v>7.5</x:v>
      </x:c>
      <x:c r="I11" s="38" t="n">
        <x:f>SUM(I33,I39,I45,I50)</x:f>
        <x:v>8.445833333333333</x:v>
      </x:c>
      <x:c r="J11" s="38" t="n">
        <x:f>SUM(J33,J39,J45,J50)</x:f>
        <x:v>13.400925595238096</x:v>
      </x:c>
      <x:c r="K11" s="38" t="n">
        <x:f>SUM(K33,K39,K45,K50)</x:f>
        <x:v>23.540671661706348</x:v>
      </x:c>
      <x:c r="L11" s="38" t="n">
        <x:f>SUM(L33,L39,L45,L50)</x:f>
        <x:v>38.70546666049558</x:v>
      </x:c>
      <x:c r="M11" s="38" t="n">
        <x:f>SUM(M33,M39,M45,M50)</x:f>
        <x:v>61.806955692542196</x:v>
      </x:c>
      <x:c r="N11" s="38" t="n">
        <x:f>SUM(N33,N39,N45,N50)</x:f>
        <x:v>101.7081637409019</x:v>
      </x:c>
      <x:c r="O11" s="38" t="n">
        <x:f>SUM(O33,O39,O45,O50)</x:f>
        <x:v>156.77276160853404</x:v>
      </x:c>
      <x:c r="P11" s="38" t="n">
        <x:f>SUM(P33,P39,P45,P50)</x:f>
        <x:v>223.27002634927288</x:v>
      </x:c>
      <x:c r="Q11" s="38" t="n">
        <x:f>SUM(Q33,Q39,Q45,Q50)</x:f>
        <x:v>298.96512609563337</x:v>
      </x:c>
      <x:c r="R11" s="38" t="n">
        <x:f>SUM(R33,R39,R45,R50)</x:f>
        <x:v>381.9381578554372</x:v>
      </x:c>
      <x:c r="S11" s="38" t="n">
        <x:f>SUM(S33,S39,S45,S50)</x:f>
        <x:v>473.6549102865965</x:v>
      </x:c>
      <x:c r="T11" s="38" t="n">
        <x:f>SUM(T33,T39,T45,T50)</x:f>
        <x:v>572.5791095594259</x:v>
      </x:c>
      <x:c r="U11" s="38" t="n">
        <x:f>SUM(U33,U39,U45,U50)</x:f>
        <x:v>679.1634887056539</x:v>
      </x:c>
      <x:c r="V11" s="38" t="n">
        <x:f>SUM(V33,V39,V45,V50)</x:f>
        <x:v>788.3000434025466</x:v>
      </x:c>
      <x:c r="W11" s="38" t="n">
        <x:f>SUM(W33,W39,W45,W50)</x:f>
        <x:v>896.8727819494201</x:v>
      </x:c>
      <x:c r="X11" s="38" t="n">
        <x:f>SUM(X33,X39,X45,X50)</x:f>
        <x:v>1002.95991956388</x:v>
      </x:c>
    </x:row>
    <x:row r="12" ht="21" customHeight="1">
      <x:c r="A12" s="1"/>
      <x:c r="B12" s="1"/>
      <x:c r="C12" s="1" t="str">
        <x:v>New patient starts</x:v>
      </x:c>
      <x:c r="D12" s="32" t="n">
        <x:f>SUM(D35,D41,D47,D52)</x:f>
        <x:v>0</x:v>
      </x:c>
      <x:c r="E12" s="32" t="n">
        <x:f>SUM(E35,E41,E47,E52)</x:f>
        <x:v>0</x:v>
      </x:c>
      <x:c r="F12" s="32" t="n">
        <x:f>SUM(F35,F41,F47,F52)</x:f>
        <x:v>0</x:v>
      </x:c>
      <x:c r="G12" s="32" t="n">
        <x:f>SUM(G35,G41,G47,G52)</x:f>
        <x:v>0</x:v>
      </x:c>
      <x:c r="H12" s="32" t="n">
        <x:f>SUM(H35,H41,H47,H52)</x:f>
        <x:v>94.5</x:v>
      </x:c>
      <x:c r="I12" s="32" t="n">
        <x:f>SUM(I35,I41,I47,I52)</x:f>
        <x:v>488.45416666666665</x:v>
      </x:c>
      <x:c r="J12" s="32" t="n">
        <x:f>SUM(J35,J41,J47,J52)</x:f>
        <x:v>616.0386458333332</x:v>
      </x:c>
      <x:c r="K12" s="32" t="n">
        <x:f>SUM(K35,K41,K47,K52)</x:f>
        <x:v>933.8435713541667</x:v>
      </x:c>
      <x:c r="L12" s="32" t="n">
        <x:f>SUM(L35,L41,L47,L52)</x:f>
        <x:v>1495.4477579112215</x:v>
      </x:c>
      <x:c r="M12" s="32" t="n">
        <x:f>SUM(M35,M41,M47,M52)</x:f>
        <x:v>2378.96832783143</x:v>
      </x:c>
      <x:c r="N12" s="32" t="n">
        <x:f>SUM(N35,N41,N47,N52)</x:f>
        <x:v>3838.894507570125</x:v>
      </x:c>
      <x:c r="O12" s="32" t="n">
        <x:f>SUM(O35,O41,O47,O52)</x:f>
        <x:v>5975.932343066354</x:v>
      </x:c>
      <x:c r="P12" s="32" t="n">
        <x:f>SUM(P35,P41,P47,P52)</x:f>
        <x:v>8828.261225100992</x:v>
      </x:c>
      <x:c r="Q12" s="32" t="n">
        <x:f>SUM(Q35,Q41,Q47,Q52)</x:f>
        <x:v>12228.15478501753</x:v>
      </x:c>
      <x:c r="R12" s="32" t="n">
        <x:f>SUM(R35,R41,R47,R52)</x:f>
        <x:v>16092.633234260044</x:v>
      </x:c>
      <x:c r="S12" s="32" t="n">
        <x:f>SUM(S35,S41,S47,S52)</x:f>
        <x:v>20357.491036035757</x:v>
      </x:c>
      <x:c r="T12" s="32" t="n">
        <x:f>SUM(T35,T41,T47,T52)</x:f>
        <x:v>25016.74282101459</x:v>
      </x:c>
      <x:c r="U12" s="32" t="n">
        <x:f>SUM(U35,U41,U47,U52)</x:f>
        <x:v>30077.767263382284</x:v>
      </x:c>
      <x:c r="V12" s="32" t="n">
        <x:f>SUM(V35,V41,V47,V52)</x:f>
        <x:v>35406.518339435555</x:v>
      </x:c>
      <x:c r="W12" s="32" t="n">
        <x:f>SUM(W35,W41,W47,W52)</x:f>
        <x:v>40845.254398943594</x:v>
      </x:c>
      <x:c r="X12" s="32" t="n">
        <x:f>SUM(X35,X41,X47,X52)</x:f>
        <x:v>46250.163751847205</x:v>
      </x:c>
    </x:row>
    <x:row r="13" ht="21" customHeight="1">
      <x:c r="A13" s="1"/>
      <x:c r="B13" s="1"/>
      <x:c r="C13" s="1" t="str">
        <x:v>Patient-months of demand</x:v>
      </x:c>
      <x:c r="D13" s="32" t="n">
        <x:f>D12*IF(1=$D$75,MIN($D$76,$D$91),$D$91)+0*IF(1-1=$D$75,$D$90-MIN($D$76,$D$91),$D$90-$D$91)</x:f>
        <x:v>0</x:v>
      </x:c>
      <x:c r="E13" s="32" t="n">
        <x:f>E12*IF(2=$D$75,MIN($D$76,$D$91),$D$91)+D12*IF(2-1=$D$75,$D$90-MIN($D$76,$D$91),$D$90-$D$91)</x:f>
        <x:v>0</x:v>
      </x:c>
      <x:c r="F13" s="32" t="n">
        <x:f>F12*IF(3=$D$75,MIN($D$76,$D$91),$D$91)+E12*IF(3-1=$D$75,$D$90-MIN($D$76,$D$91),$D$90-$D$91)</x:f>
        <x:v>0</x:v>
      </x:c>
      <x:c r="G13" s="32" t="n">
        <x:f>G12*IF(4=$D$75,MIN($D$76,$D$91),$D$91)+F12*IF(4-1=$D$75,$D$90-MIN($D$76,$D$91),$D$90-$D$91)</x:f>
        <x:v>0</x:v>
      </x:c>
      <x:c r="H13" s="32" t="n">
        <x:f>H12*IF(5=$D$75,MIN($D$76,$D$91),$D$91)+G12*IF(5-1=$D$75,$D$90-MIN($D$76,$D$91),$D$90-$D$91)</x:f>
        <x:v>94.5</x:v>
      </x:c>
      <x:c r="I13" s="32" t="n">
        <x:f>I12*IF(6=$D$75,MIN($D$76,$D$91),$D$91)+H12*IF(6-1=$D$75,$D$90-MIN($D$76,$D$91),$D$90-$D$91)</x:f>
        <x:v>1260.4083333333333</x:v>
      </x:c>
      <x:c r="J13" s="32" t="n">
        <x:f>J12*IF(7=$D$75,MIN($D$76,$D$91),$D$91)+I12*IF(7-1=$D$75,$D$90-MIN($D$76,$D$91),$D$90-$D$91)</x:f>
        <x:v>2208.985625</x:v>
      </x:c>
      <x:c r="K13" s="32" t="n">
        <x:f>K12*IF(8=$D$75,MIN($D$76,$D$91),$D$91)+J12*IF(8-1=$D$75,$D$90-MIN($D$76,$D$91),$D$90-$D$91)</x:f>
        <x:v>3099.764434375</x:v>
      </x:c>
      <x:c r="L13" s="32" t="n">
        <x:f>L12*IF(9=$D$75,MIN($D$76,$D$91),$D$91)+K12*IF(9-1=$D$75,$D$90-MIN($D$76,$D$91),$D$90-$D$91)</x:f>
        <x:v>4858.582658530777</x:v>
      </x:c>
      <x:c r="M13" s="32" t="n">
        <x:f>M12*IF(10=$D$75,MIN($D$76,$D$91),$D$91)+L12*IF(10-1=$D$75,$D$90-MIN($D$76,$D$91),$D$90-$D$91)</x:f>
        <x:v>7748.832171485303</x:v>
      </x:c>
      <x:c r="N13" s="32" t="n">
        <x:f>N12*IF(11=$D$75,MIN($D$76,$D$91),$D$91)+M12*IF(11-1=$D$75,$D$90-MIN($D$76,$D$91),$D$90-$D$91)</x:f>
        <x:v>12435.72567080311</x:v>
      </x:c>
      <x:c r="O13" s="32" t="n">
        <x:f>O12*IF(12=$D$75,MIN($D$76,$D$91),$D$91)+N12*IF(12-1=$D$75,$D$90-MIN($D$76,$D$91),$D$90-$D$91)</x:f>
        <x:v>19629.65370127296</x:v>
      </x:c>
      <x:c r="P13" s="32" t="n">
        <x:f>P12*IF(13=$D$75,MIN($D$76,$D$91),$D$91)+O12*IF(13-1=$D$75,$D$90-MIN($D$76,$D$91),$D$90-$D$91)</x:f>
        <x:v>29608.38713633469</x:v>
      </x:c>
      <x:c r="Q13" s="32" t="n">
        <x:f>Q12*IF(14=$D$75,MIN($D$76,$D$91),$D$91)+P12*IF(14-1=$D$75,$D$90-MIN($D$76,$D$91),$D$90-$D$91)</x:f>
        <x:v>42112.832020237045</x:v>
      </x:c>
      <x:c r="R13" s="32" t="n">
        <x:f>R12*IF(15=$D$75,MIN($D$76,$D$91),$D$91)+Q12*IF(15-1=$D$75,$D$90-MIN($D$76,$D$91),$D$90-$D$91)</x:f>
        <x:v>56641.57603855515</x:v>
      </x:c>
      <x:c r="S13" s="32" t="n">
        <x:f>S12*IF(16=$D$75,MIN($D$76,$D$91),$D$91)+R12*IF(16-1=$D$75,$D$90-MIN($D$76,$D$91),$D$90-$D$91)</x:f>
        <x:v>72900.2485405916</x:v>
      </x:c>
      <x:c r="T13" s="32" t="n">
        <x:f>T12*IF(17=$D$75,MIN($D$76,$D$91),$D$91)+S12*IF(17-1=$D$75,$D$90-MIN($D$76,$D$91),$D$90-$D$91)</x:f>
        <x:v>90748.4677141007</x:v>
      </x:c>
      <x:c r="U13" s="32" t="n">
        <x:f>U12*IF(18=$D$75,MIN($D$76,$D$91),$D$91)+T12*IF(18-1=$D$75,$D$90-MIN($D$76,$D$91),$D$90-$D$91)</x:f>
        <x:v>110189.02016879375</x:v>
      </x:c>
      <x:c r="V13" s="32" t="n">
        <x:f>V12*IF(19=$D$75,MIN($D$76,$D$91),$D$91)+U12*IF(19-1=$D$75,$D$90-MIN($D$76,$D$91),$D$90-$D$91)</x:f>
        <x:v>130968.57120563567</x:v>
      </x:c>
      <x:c r="W13" s="32" t="n">
        <x:f>W12*IF(20=$D$75,MIN($D$76,$D$91),$D$91)+V12*IF(20-1=$D$75,$D$90-MIN($D$76,$D$91),$D$90-$D$91)</x:f>
        <x:v>152503.5454767583</x:v>
      </x:c>
      <x:c r="X13" s="32" t="n">
        <x:f>X12*IF(21=$D$75,MIN($D$76,$D$91),$D$91)+W12*IF(21-1=$D$75,$D$90-MIN($D$76,$D$91),$D$90-$D$91)</x:f>
        <x:v>174190.83630158158</x:v>
      </x:c>
    </x:row>
    <x:row r="14" ht="21" customHeight="1">
      <x:c r="A14" s="1"/>
      <x:c r="B14" s="1"/>
      <x:c r="C14" s="20" t="str">
        <x:v>Patches sold</x:v>
      </x:c>
      <x:c r="D14" s="38" t="n">
        <x:f>MIN(D61,MAX(0,D59-D60))</x:f>
        <x:v>0</x:v>
      </x:c>
      <x:c r="E14" s="38" t="n">
        <x:f>MIN(E61,MAX(0,E59-E60))</x:f>
        <x:v>0</x:v>
      </x:c>
      <x:c r="F14" s="38" t="n">
        <x:f>MIN(F61,MAX(0,F59-F60))</x:f>
        <x:v>0</x:v>
      </x:c>
      <x:c r="G14" s="38" t="n">
        <x:f>MIN(G61,MAX(0,G59-G60))</x:f>
        <x:v>0</x:v>
      </x:c>
      <x:c r="H14" s="38" t="n">
        <x:f>MIN(H61,MAX(0,H59-H60))</x:f>
        <x:v>945</x:v>
      </x:c>
      <x:c r="I14" s="38" t="n">
        <x:f>MIN(I61,MAX(0,I59-I60))</x:f>
        <x:v>12604.083333333332</x:v>
      </x:c>
      <x:c r="J14" s="38" t="n">
        <x:f>MIN(J61,MAX(0,J59-J60))</x:f>
        <x:v>22089.856249999997</x:v>
      </x:c>
      <x:c r="K14" s="38" t="n">
        <x:f>MIN(K61,MAX(0,K59-K60))</x:f>
        <x:v>30997.64434375</x:v>
      </x:c>
      <x:c r="L14" s="38" t="n">
        <x:f>MIN(L61,MAX(0,L59-L60))</x:f>
        <x:v>48585.82658530777</x:v>
      </x:c>
      <x:c r="M14" s="38" t="n">
        <x:f>MIN(M61,MAX(0,M59-M60))</x:f>
        <x:v>77488.32171485302</x:v>
      </x:c>
      <x:c r="N14" s="38" t="n">
        <x:f>MIN(N61,MAX(0,N59-N60))</x:f>
        <x:v>124357.25670803108</x:v>
      </x:c>
      <x:c r="O14" s="38" t="n">
        <x:f>MIN(O61,MAX(0,O59-O60))</x:f>
        <x:v>196296.53701272962</x:v>
      </x:c>
      <x:c r="P14" s="38" t="n">
        <x:f>MIN(P61,MAX(0,P59-P60))</x:f>
        <x:v>296083.87136334693</x:v>
      </x:c>
      <x:c r="Q14" s="38" t="n">
        <x:f>MIN(Q61,MAX(0,Q59-Q60))</x:f>
        <x:v>421128.32020237047</x:v>
      </x:c>
      <x:c r="R14" s="38" t="n">
        <x:f>MIN(R61,MAX(0,R59-R60))</x:f>
        <x:v>566415.7603855515</x:v>
      </x:c>
      <x:c r="S14" s="38" t="n">
        <x:f>MIN(S61,MAX(0,S59-S60))</x:f>
        <x:v>729002.4854059159</x:v>
      </x:c>
      <x:c r="T14" s="38" t="n">
        <x:f>MIN(T61,MAX(0,T59-T60))</x:f>
        <x:v>907484.677141007</x:v>
      </x:c>
      <x:c r="U14" s="38" t="n">
        <x:f>MIN(U61,MAX(0,U59-U60))</x:f>
        <x:v>1101890.2016879376</x:v>
      </x:c>
      <x:c r="V14" s="38" t="n">
        <x:f>MIN(V61,MAX(0,V59-V60))</x:f>
        <x:v>1309685.7120563567</x:v>
      </x:c>
      <x:c r="W14" s="38" t="n">
        <x:f>MIN(W61,MAX(0,W59-W60))</x:f>
        <x:v>1525035.454767583</x:v>
      </x:c>
      <x:c r="X14" s="38" t="n">
        <x:f>MIN(X61,MAX(0,X59-X60))</x:f>
        <x:v>1741908.3630158158</x:v>
      </x:c>
    </x:row>
    <x:row r="15" ht="21" customHeight="1">
      <x:c r="A15" s="1"/>
      <x:c r="B15" s="1"/>
      <x:c r="C15" s="1" t="str">
        <x:v>Net revenue per patch ($)</x:v>
      </x:c>
      <x:c r="D15" s="30" t="n">
        <x:f>D116</x:f>
        <x:v>20</x:v>
      </x:c>
      <x:c r="E15" s="30" t="n">
        <x:f>E116</x:f>
        <x:v>20</x:v>
      </x:c>
      <x:c r="F15" s="30" t="n">
        <x:f>E116</x:f>
        <x:v>20</x:v>
      </x:c>
      <x:c r="G15" s="30" t="n">
        <x:f>E116</x:f>
        <x:v>20</x:v>
      </x:c>
      <x:c r="H15" s="30" t="n">
        <x:f>E116</x:f>
        <x:v>20</x:v>
      </x:c>
      <x:c r="I15" s="30" t="n">
        <x:f>F116</x:f>
        <x:v>23.040000000000003</x:v>
      </x:c>
      <x:c r="J15" s="30" t="n">
        <x:f>F116</x:f>
        <x:v>23.040000000000003</x:v>
      </x:c>
      <x:c r="K15" s="30" t="n">
        <x:f>F116</x:f>
        <x:v>23.040000000000003</x:v>
      </x:c>
      <x:c r="L15" s="30" t="n">
        <x:f>F116</x:f>
        <x:v>23.040000000000003</x:v>
      </x:c>
      <x:c r="M15" s="30" t="n">
        <x:f>G116</x:f>
        <x:v>28.28</x:v>
      </x:c>
      <x:c r="N15" s="30" t="n">
        <x:f>G116</x:f>
        <x:v>28.28</x:v>
      </x:c>
      <x:c r="O15" s="30" t="n">
        <x:f>G116</x:f>
        <x:v>28.28</x:v>
      </x:c>
      <x:c r="P15" s="30" t="n">
        <x:f>G116</x:f>
        <x:v>28.28</x:v>
      </x:c>
      <x:c r="Q15" s="30" t="n">
        <x:f>H116</x:f>
        <x:v>30.200000000000003</x:v>
      </x:c>
      <x:c r="R15" s="30" t="n">
        <x:f>H116</x:f>
        <x:v>30.200000000000003</x:v>
      </x:c>
      <x:c r="S15" s="30" t="n">
        <x:f>H116</x:f>
        <x:v>30.200000000000003</x:v>
      </x:c>
      <x:c r="T15" s="30" t="n">
        <x:f>H116</x:f>
        <x:v>30.200000000000003</x:v>
      </x:c>
      <x:c r="U15" s="30" t="n">
        <x:f>I116</x:f>
        <x:v>30.520000000000003</x:v>
      </x:c>
      <x:c r="V15" s="30" t="n">
        <x:f>I116</x:f>
        <x:v>30.520000000000003</x:v>
      </x:c>
      <x:c r="W15" s="30" t="n">
        <x:f>I116</x:f>
        <x:v>30.520000000000003</x:v>
      </x:c>
      <x:c r="X15" s="30" t="n">
        <x:f>I116</x:f>
        <x:v>30.520000000000003</x:v>
      </x:c>
    </x:row>
    <x:row r="16" ht="21" customHeight="1">
      <x:c r="A16" s="1"/>
      <x:c r="B16" s="1"/>
      <x:c r="C16" s="20" t="str">
        <x:v>Product revenue</x:v>
      </x:c>
      <x:c r="D16" s="22" t="n">
        <x:f>D14*D15/1000</x:f>
        <x:v>0</x:v>
      </x:c>
      <x:c r="E16" s="22" t="n">
        <x:f>E14*E15/1000</x:f>
        <x:v>0</x:v>
      </x:c>
      <x:c r="F16" s="22" t="n">
        <x:f>F14*F15/1000</x:f>
        <x:v>0</x:v>
      </x:c>
      <x:c r="G16" s="22" t="n">
        <x:f>G14*G15/1000</x:f>
        <x:v>0</x:v>
      </x:c>
      <x:c r="H16" s="22" t="n">
        <x:f>H14*H15/1000</x:f>
        <x:v>18.9</x:v>
      </x:c>
      <x:c r="I16" s="22" t="n">
        <x:f>I14*I15/1000</x:f>
        <x:v>290.39808</x:v>
      </x:c>
      <x:c r="J16" s="22" t="n">
        <x:f>J14*J15/1000</x:f>
        <x:v>508.950288</x:v>
      </x:c>
      <x:c r="K16" s="22" t="n">
        <x:f>K14*K15/1000</x:f>
        <x:v>714.18572568</x:v>
      </x:c>
      <x:c r="L16" s="22" t="n">
        <x:f>L14*L15/1000</x:f>
        <x:v>1119.4174445254912</x:v>
      </x:c>
      <x:c r="M16" s="22" t="n">
        <x:f>M14*M15/1000</x:f>
        <x:v>2191.3697380960434</x:v>
      </x:c>
      <x:c r="N16" s="22" t="n">
        <x:f>N14*N15/1000</x:f>
        <x:v>3516.8232197031193</x:v>
      </x:c>
      <x:c r="O16" s="22" t="n">
        <x:f>O14*O15/1000</x:f>
        <x:v>5551.266066719994</x:v>
      </x:c>
      <x:c r="P16" s="22" t="n">
        <x:f>P14*P15/1000</x:f>
        <x:v>8373.251882155451</x:v>
      </x:c>
      <x:c r="Q16" s="22" t="n">
        <x:f>Q14*Q15/1000</x:f>
        <x:v>12718.075270111589</x:v>
      </x:c>
      <x:c r="R16" s="22" t="n">
        <x:f>R14*R15/1000</x:f>
        <x:v>17105.755963643656</x:v>
      </x:c>
      <x:c r="S16" s="22" t="n">
        <x:f>S14*S15/1000</x:f>
        <x:v>22015.875059258662</x:v>
      </x:c>
      <x:c r="T16" s="22" t="n">
        <x:f>T14*T15/1000</x:f>
        <x:v>27406.037249658413</x:v>
      </x:c>
      <x:c r="U16" s="22" t="n">
        <x:f>U14*U15/1000</x:f>
        <x:v>33629.68895551586</x:v>
      </x:c>
      <x:c r="V16" s="22" t="n">
        <x:f>V14*V15/1000</x:f>
        <x:v>39971.60793196001</x:v>
      </x:c>
      <x:c r="W16" s="22" t="n">
        <x:f>W14*W15/1000</x:f>
        <x:v>46544.08207950664</x:v>
      </x:c>
      <x:c r="X16" s="22" t="n">
        <x:f>X14*X15/1000</x:f>
        <x:v>53163.0432392427</x:v>
      </x:c>
    </x:row>
    <x:row r="17" ht="21" customHeight="1">
      <x:c r="A17" s="1"/>
      <x:c r="B17" s="1"/>
      <x:c r="C17" s="1" t="str">
        <x:v>Cost of goods sold</x:v>
      </x:c>
      <x:c r="D17" s="2" t="n">
        <x:f>D69</x:f>
        <x:v>0</x:v>
      </x:c>
      <x:c r="E17" s="2" t="n">
        <x:f>E69</x:f>
        <x:v>0</x:v>
      </x:c>
      <x:c r="F17" s="2" t="n">
        <x:f>F69</x:f>
        <x:v>0</x:v>
      </x:c>
      <x:c r="G17" s="2" t="n">
        <x:f>G69</x:f>
        <x:v>0</x:v>
      </x:c>
      <x:c r="H17" s="2" t="n">
        <x:f>H69</x:f>
        <x:v>-22.349249999999998</x:v>
      </x:c>
      <x:c r="I17" s="2" t="n">
        <x:f>I69</x:f>
        <x:v>-286.6319798999999</x:v>
      </x:c>
      <x:c r="J17" s="2" t="n">
        <x:f>J69</x:f>
        <x:v>-502.34983895249997</x:v>
      </x:c>
      <x:c r="K17" s="2" t="n">
        <x:f>K69</x:f>
        <x:v>-411.99589050165</x:v>
      </x:c>
      <x:c r="L17" s="2" t="n">
        <x:f>L69</x:f>
        <x:v>-645.7639383106427</x:v>
      </x:c>
      <x:c r="M17" s="2" t="n">
        <x:f>M69</x:f>
        <x:v>-1005.6744345440484</x:v>
      </x:c>
      <x:c r="N17" s="2" t="n">
        <x:f>N69</x:f>
        <x:v>-1630.7584429395338</x:v>
      </x:c>
      <x:c r="O17" s="2" t="n">
        <x:f>O69</x:f>
        <x:v>-1766.629573807164</x:v>
      </x:c>
      <x:c r="P17" s="2" t="n">
        <x:f>P69</x:f>
        <x:v>-2664.6956254958495</x:v>
      </x:c>
      <x:c r="Q17" s="2" t="n">
        <x:f>Q69</x:f>
        <x:v>-3717.299682426324</x:v>
      </x:c>
      <x:c r="R17" s="2" t="n">
        <x:f>R69</x:f>
        <x:v>-4999.751916923264</x:v>
      </x:c>
      <x:c r="S17" s="2" t="n">
        <x:f>S69</x:f>
        <x:v>-5319.531136006968</x:v>
      </x:c>
      <x:c r="T17" s="2" t="n">
        <x:f>T69</x:f>
        <x:v>-6621.915689097928</x:v>
      </x:c>
      <x:c r="U17" s="2" t="n">
        <x:f>U69</x:f>
        <x:v>-7964.682755840751</x:v>
      </x:c>
      <x:c r="V17" s="2" t="n">
        <x:f>V69</x:f>
        <x:v>-9466.670263885757</x:v>
      </x:c>
      <x:c r="W17" s="2" t="n">
        <x:f>W69</x:f>
        <x:v>-11023.261274151044</x:v>
      </x:c>
      <x:c r="X17" s="2" t="n">
        <x:f>X69</x:f>
        <x:v>-12590.862029550919</x:v>
      </x:c>
    </x:row>
    <x:row r="18" ht="21" customHeight="1">
      <x:c r="A18" s="1"/>
      <x:c r="B18" s="1"/>
      <x:c r="C18" s="20" t="str">
        <x:v>Gross profit</x:v>
      </x:c>
      <x:c r="D18" s="22" t="n">
        <x:f>SUM(D16:D17)</x:f>
        <x:v>0</x:v>
      </x:c>
      <x:c r="E18" s="22" t="n">
        <x:f>SUM(E16:E17)</x:f>
        <x:v>0</x:v>
      </x:c>
      <x:c r="F18" s="22" t="n">
        <x:f>SUM(F16:F17)</x:f>
        <x:v>0</x:v>
      </x:c>
      <x:c r="G18" s="22" t="n">
        <x:f>SUM(G16:G17)</x:f>
        <x:v>0</x:v>
      </x:c>
      <x:c r="H18" s="22" t="n">
        <x:f>SUM(H16:H17)</x:f>
        <x:v>-3.4492499999999993</x:v>
      </x:c>
      <x:c r="I18" s="22" t="n">
        <x:f>SUM(I16:I17)</x:f>
        <x:v>3.766100100000074</x:v>
      </x:c>
      <x:c r="J18" s="22" t="n">
        <x:f>SUM(J16:J17)</x:f>
        <x:v>6.600449047500035</x:v>
      </x:c>
      <x:c r="K18" s="22" t="n">
        <x:f>SUM(K16:K17)</x:f>
        <x:v>302.18983517835</x:v>
      </x:c>
      <x:c r="L18" s="22" t="n">
        <x:f>SUM(L16:L17)</x:f>
        <x:v>473.65350621484845</x:v>
      </x:c>
      <x:c r="M18" s="22" t="n">
        <x:f>SUM(M16:M17)</x:f>
        <x:v>1185.695303551995</x:v>
      </x:c>
      <x:c r="N18" s="22" t="n">
        <x:f>SUM(N16:N17)</x:f>
        <x:v>1886.0647767635855</x:v>
      </x:c>
      <x:c r="O18" s="22" t="n">
        <x:f>SUM(O16:O17)</x:f>
        <x:v>3784.6364929128304</x:v>
      </x:c>
      <x:c r="P18" s="22" t="n">
        <x:f>SUM(P16:P17)</x:f>
        <x:v>5708.556256659602</x:v>
      </x:c>
      <x:c r="Q18" s="22" t="n">
        <x:f>SUM(Q16:Q17)</x:f>
        <x:v>9000.775587685264</x:v>
      </x:c>
      <x:c r="R18" s="22" t="n">
        <x:f>SUM(R16:R17)</x:f>
        <x:v>12106.004046720393</x:v>
      </x:c>
      <x:c r="S18" s="22" t="n">
        <x:f>SUM(S16:S17)</x:f>
        <x:v>16696.343923251694</x:v>
      </x:c>
      <x:c r="T18" s="22" t="n">
        <x:f>SUM(T16:T17)</x:f>
        <x:v>20784.121560560485</x:v>
      </x:c>
      <x:c r="U18" s="22" t="n">
        <x:f>SUM(U16:U17)</x:f>
        <x:v>25665.00619967511</x:v>
      </x:c>
      <x:c r="V18" s="22" t="n">
        <x:f>SUM(V16:V17)</x:f>
        <x:v>30504.937668074253</x:v>
      </x:c>
      <x:c r="W18" s="22" t="n">
        <x:f>SUM(W16:W17)</x:f>
        <x:v>35520.82080535559</x:v>
      </x:c>
      <x:c r="X18" s="22" t="n">
        <x:f>SUM(X16:X17)</x:f>
        <x:v>40572.181209691786</x:v>
      </x:c>
    </x:row>
    <x:row r="19" ht="21" customHeight="1">
      <x:c r="A19" s="1"/>
      <x:c r="B19" s="1"/>
      <x:c r="C19" s="34" t="str">
        <x:v>Gross margin</x:v>
      </x:c>
      <x:c r="D19" s="35" t="str">
        <x:f>IF(D16=0,"n.a.",D18/D16)</x:f>
        <x:v>n.a.</x:v>
      </x:c>
      <x:c r="E19" s="35" t="str">
        <x:f>IF(E16=0,"n.a.",E18/E16)</x:f>
        <x:v>n.a.</x:v>
      </x:c>
      <x:c r="F19" s="35" t="str">
        <x:f>IF(F16=0,"n.a.",F18/F16)</x:f>
        <x:v>n.a.</x:v>
      </x:c>
      <x:c r="G19" s="35" t="str">
        <x:f>IF(G16=0,"n.a.",G18/G16)</x:f>
        <x:v>n.a.</x:v>
      </x:c>
      <x:c r="H19" s="35" t="n">
        <x:f>IF(H16=0,"n.a.",H18/H16)</x:f>
        <x:v>-0.18249999999999997</x:v>
      </x:c>
      <x:c r="I19" s="35" t="n">
        <x:f>IF(I16=0,"n.a.",I18/I16)</x:f>
        <x:v>0.012968750000000254</x:v>
      </x:c>
      <x:c r="J19" s="35" t="n">
        <x:f>IF(J16=0,"n.a.",J18/J16)</x:f>
        <x:v>0.012968750000000069</x:v>
      </x:c>
      <x:c r="K19" s="35" t="n">
        <x:f>IF(K16=0,"n.a.",K18/K16)</x:f>
        <x:v>0.423125</x:v>
      </x:c>
      <x:c r="L19" s="35" t="n">
        <x:f>IF(L16=0,"n.a.",L18/L16)</x:f>
        <x:v>0.423125</x:v>
      </x:c>
      <x:c r="M19" s="35" t="n">
        <x:f>IF(M16=0,"n.a.",M18/M16)</x:f>
        <x:v>0.5410749646393211</x:v>
      </x:c>
      <x:c r="N19" s="35" t="n">
        <x:f>IF(N16=0,"n.a.",N18/N16)</x:f>
        <x:v>0.5362978628544206</x:v>
      </x:c>
      <x:c r="O19" s="35" t="n">
        <x:f>IF(O16=0,"n.a.",O18/O16)</x:f>
        <x:v>0.6817609618104669</x:v>
      </x:c>
      <x:c r="P19" s="35" t="n">
        <x:f>IF(P16=0,"n.a.",P18/P16)</x:f>
        <x:v>0.6817609618104667</x:v>
      </x:c>
      <x:c r="Q19" s="35" t="n">
        <x:f>IF(Q16=0,"n.a.",Q18/Q16)</x:f>
        <x:v>0.7077152317880795</x:v>
      </x:c>
      <x:c r="R19" s="35" t="n">
        <x:f>IF(R16=0,"n.a.",R18/R16)</x:f>
        <x:v>0.7077152317880795</x:v>
      </x:c>
      <x:c r="S19" s="35" t="n">
        <x:f>IF(S16=0,"n.a.",S18/S16)</x:f>
        <x:v>0.7583774834437086</x:v>
      </x:c>
      <x:c r="T19" s="35" t="n">
        <x:f>IF(T16=0,"n.a.",T18/T16)</x:f>
        <x:v>0.7583774834437086</x:v>
      </x:c>
      <x:c r="U19" s="35" t="n">
        <x:f>IF(U16=0,"n.a.",U18/U16)</x:f>
        <x:v>0.7631651376146789</x:v>
      </x:c>
      <x:c r="V19" s="35" t="n">
        <x:f>IF(V16=0,"n.a.",V18/V16)</x:f>
        <x:v>0.763165137614679</x:v>
      </x:c>
      <x:c r="W19" s="35" t="n">
        <x:f>IF(W16=0,"n.a.",W18/W16)</x:f>
        <x:v>0.7631651376146789</x:v>
      </x:c>
      <x:c r="X19" s="35" t="n">
        <x:f>IF(X16=0,"n.a.",X18/X16)</x:f>
        <x:v>0.763165137614679</x:v>
      </x:c>
    </x:row>
    <x:row r="20" ht="21" customHeight="1">
      <x:c r="A20" s="1"/>
      <x:c r="B20" s="1"/>
      <x:c r="C20" s="1" t="str">
        <x:v>Manufacturing cost per patch ($)</x:v>
      </x:c>
      <x:c r="D20" s="30" t="n">
        <x:f>INDEX($E$121:$E$124,D58)</x:f>
        <x:v>20</x:v>
      </x:c>
      <x:c r="E20" s="30" t="n">
        <x:f>INDEX($E$121:$E$124,E58)</x:f>
        <x:v>20</x:v>
      </x:c>
      <x:c r="F20" s="30" t="n">
        <x:f>INDEX($E$121:$E$124,F58)</x:f>
        <x:v>20</x:v>
      </x:c>
      <x:c r="G20" s="30" t="n">
        <x:f>INDEX($E$121:$E$124,G58)</x:f>
        <x:v>20</x:v>
      </x:c>
      <x:c r="H20" s="30" t="n">
        <x:f>INDEX($E$121:$E$124,H58)</x:f>
        <x:v>20</x:v>
      </x:c>
      <x:c r="I20" s="30" t="n">
        <x:f>INDEX($E$121:$E$124,I58)</x:f>
        <x:v>20</x:v>
      </x:c>
      <x:c r="J20" s="30" t="n">
        <x:f>INDEX($E$121:$E$124,J58)</x:f>
        <x:v>20</x:v>
      </x:c>
      <x:c r="K20" s="30" t="n">
        <x:f>INDEX($E$121:$E$124,K58)</x:f>
        <x:v>11</x:v>
      </x:c>
      <x:c r="L20" s="30" t="n">
        <x:f>INDEX($E$121:$E$124,L58)</x:f>
        <x:v>11</x:v>
      </x:c>
      <x:c r="M20" s="30" t="n">
        <x:f>INDEX($E$121:$E$124,M58)</x:f>
        <x:v>11</x:v>
      </x:c>
      <x:c r="N20" s="30" t="n">
        <x:f>INDEX($E$121:$E$124,N58)</x:f>
        <x:v>11</x:v>
      </x:c>
      <x:c r="O20" s="30" t="n">
        <x:f>INDEX($E$121:$E$124,O58)</x:f>
        <x:v>7</x:v>
      </x:c>
      <x:c r="P20" s="30" t="n">
        <x:f>INDEX($E$121:$E$124,P58)</x:f>
        <x:v>7</x:v>
      </x:c>
      <x:c r="Q20" s="30" t="n">
        <x:f>INDEX($E$121:$E$124,Q58)</x:f>
        <x:v>7</x:v>
      </x:c>
      <x:c r="R20" s="30" t="n">
        <x:f>INDEX($E$121:$E$124,R58)</x:f>
        <x:v>7</x:v>
      </x:c>
      <x:c r="S20" s="30" t="n">
        <x:f>INDEX($E$121:$E$124,S58)</x:f>
        <x:v>5.5</x:v>
      </x:c>
      <x:c r="T20" s="30" t="n">
        <x:f>INDEX($E$121:$E$124,T58)</x:f>
        <x:v>5.5</x:v>
      </x:c>
      <x:c r="U20" s="30" t="n">
        <x:f>INDEX($E$121:$E$124,U58)</x:f>
        <x:v>5.5</x:v>
      </x:c>
      <x:c r="V20" s="30" t="n">
        <x:f>INDEX($E$121:$E$124,V58)</x:f>
        <x:v>5.5</x:v>
      </x:c>
      <x:c r="W20" s="30" t="n">
        <x:f>INDEX($E$121:$E$124,W58)</x:f>
        <x:v>5.5</x:v>
      </x:c>
      <x:c r="X20" s="30" t="n">
        <x:f>INDEX($E$121:$E$124,X58)</x:f>
        <x:v>5.5</x:v>
      </x:c>
    </x:row>
    <x:row r="21" ht="21" customHeight="1">
      <x:c r="A21" s="1"/>
      <x:c r="B21" s="1"/>
      <x:c r="C21" s="1" t="str">
        <x:v>All-in cost per patch ($)</x:v>
      </x:c>
      <x:c r="D21" s="30" t="str">
        <x:f>IF(D14=0,"n.a.",-D17*1000/D14)</x:f>
        <x:v>n.a.</x:v>
      </x:c>
      <x:c r="E21" s="30" t="str">
        <x:f>IF(E14=0,"n.a.",-E17*1000/E14)</x:f>
        <x:v>n.a.</x:v>
      </x:c>
      <x:c r="F21" s="30" t="str">
        <x:f>IF(F14=0,"n.a.",-F17*1000/F14)</x:f>
        <x:v>n.a.</x:v>
      </x:c>
      <x:c r="G21" s="30" t="str">
        <x:f>IF(G14=0,"n.a.",-G17*1000/G14)</x:f>
        <x:v>n.a.</x:v>
      </x:c>
      <x:c r="H21" s="30" t="n">
        <x:f>IF(H14=0,"n.a.",-H17*1000/H14)</x:f>
        <x:v>23.649999999999995</x:v>
      </x:c>
      <x:c r="I21" s="30" t="n">
        <x:f>IF(I14=0,"n.a.",-I17*1000/I14)</x:f>
        <x:v>22.741199999999996</x:v>
      </x:c>
      <x:c r="J21" s="30" t="n">
        <x:f>IF(J14=0,"n.a.",-J17*1000/J14)</x:f>
        <x:v>22.741200000000003</x:v>
      </x:c>
      <x:c r="K21" s="30" t="n">
        <x:f>IF(K14=0,"n.a.",-K17*1000/K14)</x:f>
        <x:v>13.291200000000002</x:v>
      </x:c>
      <x:c r="L21" s="30" t="n">
        <x:f>IF(L14=0,"n.a.",-L17*1000/L14)</x:f>
        <x:v>13.291200000000002</x:v>
      </x:c>
      <x:c r="M21" s="30" t="n">
        <x:f>IF(M14=0,"n.a.",-M17*1000/M14)</x:f>
        <x:v>12.978399999999999</x:v>
      </x:c>
      <x:c r="N21" s="30" t="n">
        <x:f>IF(N14=0,"n.a.",-N17*1000/N14)</x:f>
        <x:v>13.113496438476986</x:v>
      </x:c>
      <x:c r="O21" s="30" t="n">
        <x:f>IF(O14=0,"n.a.",-O17*1000/O14)</x:f>
        <x:v>8.9998</x:v>
      </x:c>
      <x:c r="P21" s="30" t="n">
        <x:f>IF(P14=0,"n.a.",-P17*1000/P14)</x:f>
        <x:v>8.9998</x:v>
      </x:c>
      <x:c r="Q21" s="30" t="n">
        <x:f>IF(Q14=0,"n.a.",-Q17*1000/Q14)</x:f>
        <x:v>8.827</x:v>
      </x:c>
      <x:c r="R21" s="30" t="n">
        <x:f>IF(R14=0,"n.a.",-R17*1000/R14)</x:f>
        <x:v>8.827000000000002</x:v>
      </x:c>
      <x:c r="S21" s="30" t="n">
        <x:f>IF(S14=0,"n.a.",-S17*1000/S14)</x:f>
        <x:v>7.297</x:v>
      </x:c>
      <x:c r="T21" s="30" t="n">
        <x:f>IF(T14=0,"n.a.",-T17*1000/T14)</x:f>
        <x:v>7.297000000000001</x:v>
      </x:c>
      <x:c r="U21" s="30" t="n">
        <x:f>IF(U14=0,"n.a.",-U17*1000/U14)</x:f>
        <x:v>7.228200000000001</x:v>
      </x:c>
      <x:c r="V21" s="30" t="n">
        <x:f>IF(V14=0,"n.a.",-V17*1000/V14)</x:f>
        <x:v>7.228199999999999</x:v>
      </x:c>
      <x:c r="W21" s="30" t="n">
        <x:f>IF(W14=0,"n.a.",-W17*1000/W14)</x:f>
        <x:v>7.228200000000001</x:v>
      </x:c>
      <x:c r="X21" s="30" t="n">
        <x:f>IF(X14=0,"n.a.",-X17*1000/X14)</x:f>
        <x:v>7.228199999999999</x:v>
      </x:c>
    </x:row>
    <x:row r="22" ht="21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23" customHeight="1">
      <x:c r="A23" s="1"/>
      <x:c r="B23" s="1"/>
      <x:c r="C23" s="13" t="str">
        <x:v>Account acquisition and patient use</x:v>
      </x:c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</x:row>
    <x:row r="24" ht="21" customHeight="1">
      <x:c r="A24" s="1"/>
      <x:c r="B24" s="1"/>
      <x:c r="C24" s="1" t="str">
        <x:v>Home-health prospects</x:v>
      </x:c>
      <x:c r="D24" s="24" t="n">
        <x:v>0</x:v>
      </x:c>
      <x:c r="E24" s="24" t="n">
        <x:v>0</x:v>
      </x:c>
      <x:c r="F24" s="24" t="n">
        <x:v>0</x:v>
      </x:c>
      <x:c r="G24" s="24" t="n">
        <x:v>0</x:v>
      </x:c>
      <x:c r="H24" s="24" t="n">
        <x:v>17</x:v>
      </x:c>
      <x:c r="I24" s="24" t="n">
        <x:v>19</x:v>
      </x:c>
      <x:c r="J24" s="24" t="n">
        <x:v>23</x:v>
      </x:c>
      <x:c r="K24" s="24" t="n">
        <x:v>30</x:v>
      </x:c>
      <x:c r="L24" s="24" t="n">
        <x:v>37</x:v>
      </x:c>
      <x:c r="M24" s="24" t="n">
        <x:v>46</x:v>
      </x:c>
      <x:c r="N24" s="24" t="n">
        <x:v>53</x:v>
      </x:c>
      <x:c r="O24" s="24" t="n">
        <x:v>61</x:v>
      </x:c>
      <x:c r="P24" s="24" t="n">
        <x:v>68</x:v>
      </x:c>
      <x:c r="Q24" s="24" t="n">
        <x:v>76</x:v>
      </x:c>
      <x:c r="R24" s="24" t="n">
        <x:v>84</x:v>
      </x:c>
      <x:c r="S24" s="24" t="n">
        <x:v>92</x:v>
      </x:c>
      <x:c r="T24" s="24" t="n">
        <x:v>100</x:v>
      </x:c>
      <x:c r="U24" s="24" t="n">
        <x:v>103</x:v>
      </x:c>
      <x:c r="V24" s="24" t="n">
        <x:v>103</x:v>
      </x:c>
      <x:c r="W24" s="24" t="n">
        <x:v>103</x:v>
      </x:c>
      <x:c r="X24" s="24" t="n">
        <x:v>103</x:v>
      </x:c>
    </x:row>
    <x:row r="25" ht="21" customHeight="1">
      <x:c r="A25" s="1"/>
      <x:c r="B25" s="1"/>
      <x:c r="C25" s="1" t="str">
        <x:v>Clinic prospects</x:v>
      </x:c>
      <x:c r="D25" s="24" t="n">
        <x:v>0</x:v>
      </x:c>
      <x:c r="E25" s="24" t="n">
        <x:v>0</x:v>
      </x:c>
      <x:c r="F25" s="24" t="n">
        <x:v>0</x:v>
      </x:c>
      <x:c r="G25" s="24" t="n">
        <x:v>0</x:v>
      </x:c>
      <x:c r="H25" s="24" t="n">
        <x:v>12</x:v>
      </x:c>
      <x:c r="I25" s="24" t="n">
        <x:v>14</x:v>
      </x:c>
      <x:c r="J25" s="24" t="n">
        <x:v>17</x:v>
      </x:c>
      <x:c r="K25" s="24" t="n">
        <x:v>22</x:v>
      </x:c>
      <x:c r="L25" s="24" t="n">
        <x:v>27</x:v>
      </x:c>
      <x:c r="M25" s="24" t="n">
        <x:v>34</x:v>
      </x:c>
      <x:c r="N25" s="24" t="n">
        <x:v>38</x:v>
      </x:c>
      <x:c r="O25" s="24" t="n">
        <x:v>44</x:v>
      </x:c>
      <x:c r="P25" s="24" t="n">
        <x:v>49</x:v>
      </x:c>
      <x:c r="Q25" s="24" t="n">
        <x:v>56</x:v>
      </x:c>
      <x:c r="R25" s="24" t="n">
        <x:v>61</x:v>
      </x:c>
      <x:c r="S25" s="24" t="n">
        <x:v>67</x:v>
      </x:c>
      <x:c r="T25" s="24" t="n">
        <x:v>72</x:v>
      </x:c>
      <x:c r="U25" s="24" t="n">
        <x:v>75</x:v>
      </x:c>
      <x:c r="V25" s="24" t="n">
        <x:v>75</x:v>
      </x:c>
      <x:c r="W25" s="24" t="n">
        <x:v>75</x:v>
      </x:c>
      <x:c r="X25" s="24" t="n">
        <x:v>75</x:v>
      </x:c>
    </x:row>
    <x:row r="26" ht="21" customHeight="1">
      <x:c r="A26" s="1"/>
      <x:c r="B26" s="1"/>
      <x:c r="C26" s="1" t="str">
        <x:v>Hospital and system prospects</x:v>
      </x:c>
      <x:c r="D26" s="24" t="n">
        <x:v>0</x:v>
      </x:c>
      <x:c r="E26" s="24" t="n">
        <x:v>0</x:v>
      </x:c>
      <x:c r="F26" s="24" t="n">
        <x:v>0</x:v>
      </x:c>
      <x:c r="G26" s="24" t="n">
        <x:v>0</x:v>
      </x:c>
      <x:c r="H26" s="24" t="n">
        <x:v>1</x:v>
      </x:c>
      <x:c r="I26" s="24" t="n">
        <x:v>2</x:v>
      </x:c>
      <x:c r="J26" s="24" t="n">
        <x:v>2</x:v>
      </x:c>
      <x:c r="K26" s="24" t="n">
        <x:v>3</x:v>
      </x:c>
      <x:c r="L26" s="24" t="n">
        <x:v>3</x:v>
      </x:c>
      <x:c r="M26" s="24" t="n">
        <x:v>4</x:v>
      </x:c>
      <x:c r="N26" s="24" t="n">
        <x:v>5</x:v>
      </x:c>
      <x:c r="O26" s="24" t="n">
        <x:v>5</x:v>
      </x:c>
      <x:c r="P26" s="24" t="n">
        <x:v>6</x:v>
      </x:c>
      <x:c r="Q26" s="24" t="n">
        <x:v>7</x:v>
      </x:c>
      <x:c r="R26" s="24" t="n">
        <x:v>8</x:v>
      </x:c>
      <x:c r="S26" s="24" t="n">
        <x:v>8</x:v>
      </x:c>
      <x:c r="T26" s="24" t="n">
        <x:v>9</x:v>
      </x:c>
      <x:c r="U26" s="24" t="n">
        <x:v>10</x:v>
      </x:c>
      <x:c r="V26" s="24" t="n">
        <x:v>10</x:v>
      </x:c>
      <x:c r="W26" s="24" t="n">
        <x:v>10</x:v>
      </x:c>
      <x:c r="X26" s="24" t="n">
        <x:v>10</x:v>
      </x:c>
    </x:row>
    <x:row r="27" ht="21" customHeight="1">
      <x:c r="A27" s="1"/>
      <x:c r="B27" s="1"/>
      <x:c r="C27" s="1" t="str">
        <x:v>Productive sales FTE</x:v>
      </x:c>
      <x:c r="D27" s="31" t="n">
        <x:f>MAX(0,'Cash Flow'!D85-MAX(0,'Cash Flow'!D85-0)*(1-$D$86))</x:f>
        <x:v>0</x:v>
      </x:c>
      <x:c r="E27" s="31" t="n">
        <x:f>MAX(0,'Cash Flow'!E85-MAX(0,'Cash Flow'!E85-0)*(1-$D$86))</x:f>
        <x:v>0</x:v>
      </x:c>
      <x:c r="F27" s="31" t="n">
        <x:f>MAX(0,'Cash Flow'!F85-MAX(0,'Cash Flow'!F85-'Cash Flow'!D85)*(1-$D$86))</x:f>
        <x:v>0</x:v>
      </x:c>
      <x:c r="G27" s="31" t="n">
        <x:f>MAX(0,'Cash Flow'!G85-MAX(0,'Cash Flow'!G85-'Cash Flow'!E85)*(1-$D$86))</x:f>
        <x:v>0</x:v>
      </x:c>
      <x:c r="H27" s="31" t="n">
        <x:f>MAX(0,'Cash Flow'!H85-MAX(0,'Cash Flow'!H85-'Cash Flow'!F85)*(1-$D$86))</x:f>
        <x:v>0</x:v>
      </x:c>
      <x:c r="I27" s="31" t="n">
        <x:f>MAX(0,'Cash Flow'!I85-MAX(0,'Cash Flow'!I85-'Cash Flow'!G85)*(1-$D$86))</x:f>
        <x:v>0</x:v>
      </x:c>
      <x:c r="J27" s="31" t="n">
        <x:f>MAX(0,'Cash Flow'!J85-MAX(0,'Cash Flow'!J85-'Cash Flow'!H85)*(1-$D$86))</x:f>
        <x:v>1.5</x:v>
      </x:c>
      <x:c r="K27" s="31" t="n">
        <x:f>MAX(0,'Cash Flow'!K85-MAX(0,'Cash Flow'!K85-'Cash Flow'!I85)*(1-$D$86))</x:f>
        <x:v>3</x:v>
      </x:c>
      <x:c r="L27" s="31" t="n">
        <x:f>MAX(0,'Cash Flow'!L85-MAX(0,'Cash Flow'!L85-'Cash Flow'!J85)*(1-$D$86))</x:f>
        <x:v>6</x:v>
      </x:c>
      <x:c r="M27" s="31" t="n">
        <x:f>MAX(0,'Cash Flow'!M85-MAX(0,'Cash Flow'!M85-'Cash Flow'!K85)*(1-$D$86))</x:f>
        <x:v>9.5</x:v>
      </x:c>
      <x:c r="N27" s="31" t="n">
        <x:f>MAX(0,'Cash Flow'!N85-MAX(0,'Cash Flow'!N85-'Cash Flow'!L85)*(1-$D$86))</x:f>
        <x:v>13</x:v>
      </x:c>
      <x:c r="O27" s="31" t="n">
        <x:f>MAX(0,'Cash Flow'!O85-MAX(0,'Cash Flow'!O85-'Cash Flow'!M85)*(1-$D$86))</x:f>
        <x:v>17</x:v>
      </x:c>
      <x:c r="P27" s="31" t="n">
        <x:f>MAX(0,'Cash Flow'!P85-MAX(0,'Cash Flow'!P85-'Cash Flow'!N85)*(1-$D$86))</x:f>
        <x:v>21</x:v>
      </x:c>
      <x:c r="Q27" s="31" t="n">
        <x:f>MAX(0,'Cash Flow'!Q85-MAX(0,'Cash Flow'!Q85-'Cash Flow'!O85)*(1-$D$86))</x:f>
        <x:v>25</x:v>
      </x:c>
      <x:c r="R27" s="31" t="n">
        <x:f>MAX(0,'Cash Flow'!R85-MAX(0,'Cash Flow'!R85-'Cash Flow'!P85)*(1-$D$86))</x:f>
        <x:v>29</x:v>
      </x:c>
      <x:c r="S27" s="31" t="n">
        <x:f>MAX(0,'Cash Flow'!S85-MAX(0,'Cash Flow'!S85-'Cash Flow'!Q85)*(1-$D$86))</x:f>
        <x:v>33</x:v>
      </x:c>
      <x:c r="T27" s="31" t="n">
        <x:f>MAX(0,'Cash Flow'!T85-MAX(0,'Cash Flow'!T85-'Cash Flow'!R85)*(1-$D$86))</x:f>
        <x:v>37</x:v>
      </x:c>
      <x:c r="U27" s="31" t="n">
        <x:f>MAX(0,'Cash Flow'!U85-MAX(0,'Cash Flow'!U85-'Cash Flow'!S85)*(1-$D$86))</x:f>
        <x:v>41</x:v>
      </x:c>
      <x:c r="V27" s="31" t="n">
        <x:f>MAX(0,'Cash Flow'!V85-MAX(0,'Cash Flow'!V85-'Cash Flow'!T85)*(1-$D$86))</x:f>
        <x:v>45</x:v>
      </x:c>
      <x:c r="W27" s="31" t="n">
        <x:f>MAX(0,'Cash Flow'!W85-MAX(0,'Cash Flow'!W85-'Cash Flow'!U85)*(1-$D$86))</x:f>
        <x:v>49</x:v>
      </x:c>
      <x:c r="X27" s="31" t="n">
        <x:f>MAX(0,'Cash Flow'!X85-MAX(0,'Cash Flow'!X85-'Cash Flow'!V85)*(1-$D$86))</x:f>
        <x:v>53</x:v>
      </x:c>
    </x:row>
    <x:row r="28" ht="21" customHeight="1">
      <x:c r="A28" s="1"/>
      <x:c r="B28" s="1"/>
      <x:c r="C28" s="1" t="str">
        <x:v>Evaluation capacity</x:v>
      </x:c>
      <x:c r="D28" s="32" t="n">
        <x:f>($D$84+D27*$D$85+D112)*D7/3</x:f>
        <x:v>0</x:v>
      </x:c>
      <x:c r="E28" s="32" t="n">
        <x:f>($D$84+E27*$D$85+E112)*E7/3</x:f>
        <x:v>0</x:v>
      </x:c>
      <x:c r="F28" s="32" t="n">
        <x:f>($D$84+F27*$D$85+E112)*F7/3</x:f>
        <x:v>0</x:v>
      </x:c>
      <x:c r="G28" s="32" t="n">
        <x:f>($D$84+G27*$D$85+E112)*G7/3</x:f>
        <x:v>0</x:v>
      </x:c>
      <x:c r="H28" s="32" t="n">
        <x:f>($D$84+H27*$D$85+E112)*H7/3</x:f>
        <x:v>2.6666666666666665</x:v>
      </x:c>
      <x:c r="I28" s="32" t="n">
        <x:f>($D$84+I27*$D$85+F112)*I7/3</x:f>
        <x:v>11</x:v>
      </x:c>
      <x:c r="J28" s="32" t="n">
        <x:f>($D$84+J27*$D$85+F112)*J7/3</x:f>
        <x:v>18.5</x:v>
      </x:c>
      <x:c r="K28" s="32" t="n">
        <x:f>($D$84+K27*$D$85+F112)*K7/3</x:f>
        <x:v>26</x:v>
      </x:c>
      <x:c r="L28" s="32" t="n">
        <x:f>($D$84+L27*$D$85+F112)*L7/3</x:f>
        <x:v>41</x:v>
      </x:c>
      <x:c r="M28" s="32" t="n">
        <x:f>($D$84+M27*$D$85+G112)*M7/3</x:f>
        <x:v>73.5</x:v>
      </x:c>
      <x:c r="N28" s="32" t="n">
        <x:f>($D$84+N27*$D$85+G112)*N7/3</x:f>
        <x:v>91</x:v>
      </x:c>
      <x:c r="O28" s="32" t="n">
        <x:f>($D$84+O27*$D$85+G112)*O7/3</x:f>
        <x:v>111</x:v>
      </x:c>
      <x:c r="P28" s="32" t="n">
        <x:f>($D$84+P27*$D$85+G112)*P7/3</x:f>
        <x:v>131</x:v>
      </x:c>
      <x:c r="Q28" s="32" t="n">
        <x:f>($D$84+Q27*$D$85+H112)*Q7/3</x:f>
        <x:v>174</x:v>
      </x:c>
      <x:c r="R28" s="32" t="n">
        <x:f>($D$84+R27*$D$85+H112)*R7/3</x:f>
        <x:v>194</x:v>
      </x:c>
      <x:c r="S28" s="32" t="n">
        <x:f>($D$84+S27*$D$85+H112)*S7/3</x:f>
        <x:v>214</x:v>
      </x:c>
      <x:c r="T28" s="32" t="n">
        <x:f>($D$84+T27*$D$85+H112)*T7/3</x:f>
        <x:v>234</x:v>
      </x:c>
      <x:c r="U28" s="32" t="n">
        <x:f>($D$84+U27*$D$85+I112)*U7/3</x:f>
        <x:v>275</x:v>
      </x:c>
      <x:c r="V28" s="32" t="n">
        <x:f>($D$84+V27*$D$85+I112)*V7/3</x:f>
        <x:v>295</x:v>
      </x:c>
      <x:c r="W28" s="32" t="n">
        <x:f>($D$84+W27*$D$85+I112)*W7/3</x:f>
        <x:v>315</x:v>
      </x:c>
      <x:c r="X28" s="32" t="n">
        <x:f>($D$84+X27*$D$85+I112)*X7/3</x:f>
        <x:v>335</x:v>
      </x:c>
    </x:row>
    <x:row r="29" ht="21" customHeight="1">
      <x:c r="A29" s="1"/>
      <x:c r="B29" s="1"/>
      <x:c r="C29" s="1" t="str">
        <x:v>Evaluations initiated</x:v>
      </x:c>
      <x:c r="D29" s="32" t="n">
        <x:f>MIN(SUM(D24:D26),D28)</x:f>
        <x:v>0</x:v>
      </x:c>
      <x:c r="E29" s="32" t="n">
        <x:f>MIN(SUM(E24:E26),E28)</x:f>
        <x:v>0</x:v>
      </x:c>
      <x:c r="F29" s="32" t="n">
        <x:f>MIN(SUM(F24:F26),F28)</x:f>
        <x:v>0</x:v>
      </x:c>
      <x:c r="G29" s="32" t="n">
        <x:f>MIN(SUM(G24:G26),G28)</x:f>
        <x:v>0</x:v>
      </x:c>
      <x:c r="H29" s="32" t="n">
        <x:f>MIN(SUM(H24:H26),H28)</x:f>
        <x:v>2.6666666666666665</x:v>
      </x:c>
      <x:c r="I29" s="32" t="n">
        <x:f>MIN(SUM(I24:I26),I28)</x:f>
        <x:v>11</x:v>
      </x:c>
      <x:c r="J29" s="32" t="n">
        <x:f>MIN(SUM(J24:J26),J28)</x:f>
        <x:v>18.5</x:v>
      </x:c>
      <x:c r="K29" s="32" t="n">
        <x:f>MIN(SUM(K24:K26),K28)</x:f>
        <x:v>26</x:v>
      </x:c>
      <x:c r="L29" s="32" t="n">
        <x:f>MIN(SUM(L24:L26),L28)</x:f>
        <x:v>41</x:v>
      </x:c>
      <x:c r="M29" s="32" t="n">
        <x:f>MIN(SUM(M24:M26),M28)</x:f>
        <x:v>73.5</x:v>
      </x:c>
      <x:c r="N29" s="32" t="n">
        <x:f>MIN(SUM(N24:N26),N28)</x:f>
        <x:v>91</x:v>
      </x:c>
      <x:c r="O29" s="32" t="n">
        <x:f>MIN(SUM(O24:O26),O28)</x:f>
        <x:v>110</x:v>
      </x:c>
      <x:c r="P29" s="32" t="n">
        <x:f>MIN(SUM(P24:P26),P28)</x:f>
        <x:v>123</x:v>
      </x:c>
      <x:c r="Q29" s="32" t="n">
        <x:f>MIN(SUM(Q24:Q26),Q28)</x:f>
        <x:v>139</x:v>
      </x:c>
      <x:c r="R29" s="32" t="n">
        <x:f>MIN(SUM(R24:R26),R28)</x:f>
        <x:v>153</x:v>
      </x:c>
      <x:c r="S29" s="32" t="n">
        <x:f>MIN(SUM(S24:S26),S28)</x:f>
        <x:v>167</x:v>
      </x:c>
      <x:c r="T29" s="32" t="n">
        <x:f>MIN(SUM(T24:T26),T28)</x:f>
        <x:v>181</x:v>
      </x:c>
      <x:c r="U29" s="32" t="n">
        <x:f>MIN(SUM(U24:U26),U28)</x:f>
        <x:v>188</x:v>
      </x:c>
      <x:c r="V29" s="32" t="n">
        <x:f>MIN(SUM(V24:V26),V28)</x:f>
        <x:v>188</x:v>
      </x:c>
      <x:c r="W29" s="32" t="n">
        <x:f>MIN(SUM(W24:W26),W28)</x:f>
        <x:v>188</x:v>
      </x:c>
      <x:c r="X29" s="32" t="n">
        <x:f>MIN(SUM(X24:X26),X28)</x:f>
        <x:v>188</x:v>
      </x:c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</x:row>
    <x:row r="31" ht="21" customHeight="1">
      <x:c r="A31" s="1"/>
      <x:c r="B31" s="1"/>
      <x:c r="C31" s="1" t="str">
        <x:v>Home-health evaluations initiated</x:v>
      </x:c>
      <x:c r="D31" s="32" t="n">
        <x:f>IF(SUM(D24:D26)=0,0,D29*D24/SUM(D24:D26))</x:f>
        <x:v>0</x:v>
      </x:c>
      <x:c r="E31" s="32" t="n">
        <x:f>IF(SUM(E24:E26)=0,0,E29*E24/SUM(E24:E26))</x:f>
        <x:v>0</x:v>
      </x:c>
      <x:c r="F31" s="32" t="n">
        <x:f>IF(SUM(F24:F26)=0,0,F29*F24/SUM(F24:F26))</x:f>
        <x:v>0</x:v>
      </x:c>
      <x:c r="G31" s="32" t="n">
        <x:f>IF(SUM(G24:G26)=0,0,G29*G24/SUM(G24:G26))</x:f>
        <x:v>0</x:v>
      </x:c>
      <x:c r="H31" s="32" t="n">
        <x:f>IF(SUM(H24:H26)=0,0,H29*H24/SUM(H24:H26))</x:f>
        <x:v>1.5111111111111108</x:v>
      </x:c>
      <x:c r="I31" s="32" t="n">
        <x:f>IF(SUM(I24:I26)=0,0,I29*I24/SUM(I24:I26))</x:f>
        <x:v>5.9714285714285715</x:v>
      </x:c>
      <x:c r="J31" s="32" t="n">
        <x:f>IF(SUM(J24:J26)=0,0,J29*J24/SUM(J24:J26))</x:f>
        <x:v>10.130952380952381</x:v>
      </x:c>
      <x:c r="K31" s="32" t="n">
        <x:f>IF(SUM(K24:K26)=0,0,K29*K24/SUM(K24:K26))</x:f>
        <x:v>14.181818181818182</x:v>
      </x:c>
      <x:c r="L31" s="32" t="n">
        <x:f>IF(SUM(L24:L26)=0,0,L29*L24/SUM(L24:L26))</x:f>
        <x:v>22.64179104477612</x:v>
      </x:c>
      <x:c r="M31" s="32" t="n">
        <x:f>IF(SUM(M24:M26)=0,0,M29*M24/SUM(M24:M26))</x:f>
        <x:v>40.25</x:v>
      </x:c>
      <x:c r="N31" s="32" t="n">
        <x:f>IF(SUM(N24:N26)=0,0,N29*N24/SUM(N24:N26))</x:f>
        <x:v>50.239583333333336</x:v>
      </x:c>
      <x:c r="O31" s="32" t="n">
        <x:f>IF(SUM(O24:O26)=0,0,O29*O24/SUM(O24:O26))</x:f>
        <x:v>61</x:v>
      </x:c>
      <x:c r="P31" s="32" t="n">
        <x:f>IF(SUM(P24:P26)=0,0,P29*P24/SUM(P24:P26))</x:f>
        <x:v>68</x:v>
      </x:c>
      <x:c r="Q31" s="32" t="n">
        <x:f>IF(SUM(Q24:Q26)=0,0,Q29*Q24/SUM(Q24:Q26))</x:f>
        <x:v>76</x:v>
      </x:c>
      <x:c r="R31" s="32" t="n">
        <x:f>IF(SUM(R24:R26)=0,0,R29*R24/SUM(R24:R26))</x:f>
        <x:v>84</x:v>
      </x:c>
      <x:c r="S31" s="32" t="n">
        <x:f>IF(SUM(S24:S26)=0,0,S29*S24/SUM(S24:S26))</x:f>
        <x:v>92</x:v>
      </x:c>
      <x:c r="T31" s="32" t="n">
        <x:f>IF(SUM(T24:T26)=0,0,T29*T24/SUM(T24:T26))</x:f>
        <x:v>100</x:v>
      </x:c>
      <x:c r="U31" s="32" t="n">
        <x:f>IF(SUM(U24:U26)=0,0,U29*U24/SUM(U24:U26))</x:f>
        <x:v>103</x:v>
      </x:c>
      <x:c r="V31" s="32" t="n">
        <x:f>IF(SUM(V24:V26)=0,0,V29*V24/SUM(V24:V26))</x:f>
        <x:v>103</x:v>
      </x:c>
      <x:c r="W31" s="32" t="n">
        <x:f>IF(SUM(W24:W26)=0,0,W29*W24/SUM(W24:W26))</x:f>
        <x:v>103</x:v>
      </x:c>
      <x:c r="X31" s="32" t="n">
        <x:f>IF(SUM(X24:X26)=0,0,X29*X24/SUM(X24:X26))</x:f>
        <x:v>103</x:v>
      </x:c>
    </x:row>
    <x:row r="32" ht="21" customHeight="1">
      <x:c r="A32" s="1"/>
      <x:c r="B32" s="1"/>
      <x:c r="C32" s="1" t="str">
        <x:v>Home-health conversions</x:v>
      </x:c>
      <x:c r="D32" s="32" t="n">
        <x:f>IF(1&lt;=$D$99,0,INDEX($D$31:$X$31,1,MAX(1,1-$D$99)))*$E$99</x:f>
        <x:v>0</x:v>
      </x:c>
      <x:c r="E32" s="32" t="n">
        <x:f>IF(2&lt;=$D$99,0,INDEX($D$31:$X$31,1,MAX(1,2-$D$99)))*$E$99</x:f>
        <x:v>0</x:v>
      </x:c>
      <x:c r="F32" s="32" t="n">
        <x:f>IF(3&lt;=$D$99,0,INDEX($D$31:$X$31,1,MAX(1,3-$D$99)))*$E$99</x:f>
        <x:v>0</x:v>
      </x:c>
      <x:c r="G32" s="32" t="n">
        <x:f>IF(4&lt;=$D$99,0,INDEX($D$31:$X$31,1,MAX(1,4-$D$99)))*$E$99</x:f>
        <x:v>0</x:v>
      </x:c>
      <x:c r="H32" s="32" t="n">
        <x:f>IF(5&lt;=$D$99,0,INDEX($D$31:$X$31,1,MAX(1,5-$D$99)))*$E$99</x:f>
        <x:v>0</x:v>
      </x:c>
      <x:c r="I32" s="32" t="n">
        <x:f>IF(6&lt;=$D$99,0,INDEX($D$31:$X$31,1,MAX(1,6-$D$99)))*$E$99</x:f>
        <x:v>1.133333333333333</x:v>
      </x:c>
      <x:c r="J32" s="32" t="n">
        <x:f>IF(7&lt;=$D$99,0,INDEX($D$31:$X$31,1,MAX(1,7-$D$99)))*$E$99</x:f>
        <x:v>4.478571428571429</x:v>
      </x:c>
      <x:c r="K32" s="32" t="n">
        <x:f>IF(8&lt;=$D$99,0,INDEX($D$31:$X$31,1,MAX(1,8-$D$99)))*$E$99</x:f>
        <x:v>7.5982142857142865</x:v>
      </x:c>
      <x:c r="L32" s="32" t="n">
        <x:f>IF(9&lt;=$D$99,0,INDEX($D$31:$X$31,1,MAX(1,9-$D$99)))*$E$99</x:f>
        <x:v>10.636363636363637</x:v>
      </x:c>
      <x:c r="M32" s="32" t="n">
        <x:f>IF(10&lt;=$D$99,0,INDEX($D$31:$X$31,1,MAX(1,10-$D$99)))*$E$99</x:f>
        <x:v>16.981343283582092</x:v>
      </x:c>
      <x:c r="N32" s="32" t="n">
        <x:f>IF(11&lt;=$D$99,0,INDEX($D$31:$X$31,1,MAX(1,11-$D$99)))*$E$99</x:f>
        <x:v>30.1875</x:v>
      </x:c>
      <x:c r="O32" s="32" t="n">
        <x:f>IF(12&lt;=$D$99,0,INDEX($D$31:$X$31,1,MAX(1,12-$D$99)))*$E$99</x:f>
        <x:v>37.6796875</x:v>
      </x:c>
      <x:c r="P32" s="32" t="n">
        <x:f>IF(13&lt;=$D$99,0,INDEX($D$31:$X$31,1,MAX(1,13-$D$99)))*$E$99</x:f>
        <x:v>45.75</x:v>
      </x:c>
      <x:c r="Q32" s="32" t="n">
        <x:f>IF(14&lt;=$D$99,0,INDEX($D$31:$X$31,1,MAX(1,14-$D$99)))*$E$99</x:f>
        <x:v>51</x:v>
      </x:c>
      <x:c r="R32" s="32" t="n">
        <x:f>IF(15&lt;=$D$99,0,INDEX($D$31:$X$31,1,MAX(1,15-$D$99)))*$E$99</x:f>
        <x:v>57</x:v>
      </x:c>
      <x:c r="S32" s="32" t="n">
        <x:f>IF(16&lt;=$D$99,0,INDEX($D$31:$X$31,1,MAX(1,16-$D$99)))*$E$99</x:f>
        <x:v>63</x:v>
      </x:c>
      <x:c r="T32" s="32" t="n">
        <x:f>IF(17&lt;=$D$99,0,INDEX($D$31:$X$31,1,MAX(1,17-$D$99)))*$E$99</x:f>
        <x:v>69</x:v>
      </x:c>
      <x:c r="U32" s="32" t="n">
        <x:f>IF(18&lt;=$D$99,0,INDEX($D$31:$X$31,1,MAX(1,18-$D$99)))*$E$99</x:f>
        <x:v>75</x:v>
      </x:c>
      <x:c r="V32" s="32" t="n">
        <x:f>IF(19&lt;=$D$99,0,INDEX($D$31:$X$31,1,MAX(1,19-$D$99)))*$E$99</x:f>
        <x:v>77.25</x:v>
      </x:c>
      <x:c r="W32" s="32" t="n">
        <x:f>IF(20&lt;=$D$99,0,INDEX($D$31:$X$31,1,MAX(1,20-$D$99)))*$E$99</x:f>
        <x:v>77.25</x:v>
      </x:c>
      <x:c r="X32" s="32" t="n">
        <x:f>IF(21&lt;=$D$99,0,INDEX($D$31:$X$31,1,MAX(1,21-$D$99)))*$E$99</x:f>
        <x:v>77.25</x:v>
      </x:c>
    </x:row>
    <x:row r="33" ht="21" customHeight="1">
      <x:c r="A33" s="1"/>
      <x:c r="B33" s="1"/>
      <x:c r="C33" s="1" t="str">
        <x:v>Home-health paid accounts</x:v>
      </x:c>
      <x:c r="D33" s="32" t="n">
        <x:f>0*(1-$F$99/4)+D32</x:f>
        <x:v>0</x:v>
      </x:c>
      <x:c r="E33" s="32" t="n">
        <x:f>D33*(1-$F$99/4)+E32</x:f>
        <x:v>0</x:v>
      </x:c>
      <x:c r="F33" s="32" t="n">
        <x:f>E33*(1-$F$99/4)+F32</x:f>
        <x:v>0</x:v>
      </x:c>
      <x:c r="G33" s="32" t="n">
        <x:f>F33*(1-$F$99/4)+G32</x:f>
        <x:v>0</x:v>
      </x:c>
      <x:c r="H33" s="32" t="n">
        <x:f>G33*(1-$F$99/4)+H32</x:f>
        <x:v>0</x:v>
      </x:c>
      <x:c r="I33" s="32" t="n">
        <x:f>H33*(1-$F$99/4)+I32</x:f>
        <x:v>1.133333333333333</x:v>
      </x:c>
      <x:c r="J33" s="32" t="n">
        <x:f>I33*(1-$F$99/4)+J32</x:f>
        <x:v>5.577904761904762</x:v>
      </x:c>
      <x:c r="K33" s="32" t="n">
        <x:f>J33*(1-$F$99/4)+K32</x:f>
        <x:v>13.008781904761905</x:v>
      </x:c>
      <x:c r="L33" s="32" t="n">
        <x:f>K33*(1-$F$99/4)+L32</x:f>
        <x:v>23.254882083982686</x:v>
      </x:c>
      <x:c r="M33" s="32" t="n">
        <x:f>L33*(1-$F$99/4)+M32</x:f>
        <x:v>39.5385789050453</x:v>
      </x:c>
      <x:c r="N33" s="32" t="n">
        <x:f>M33*(1-$F$99/4)+N32</x:f>
        <x:v>68.53992153789395</x:v>
      </x:c>
      <x:c r="O33" s="32" t="n">
        <x:f>N33*(1-$F$99/4)+O32</x:f>
        <x:v>104.16341139175712</x:v>
      </x:c>
      <x:c r="P33" s="32" t="n">
        <x:f>O33*(1-$F$99/4)+P32</x:f>
        <x:v>146.7885090500044</x:v>
      </x:c>
      <x:c r="Q33" s="32" t="n">
        <x:f>P33*(1-$F$99/4)+Q32</x:f>
        <x:v>193.38485377850427</x:v>
      </x:c>
      <x:c r="R33" s="32" t="n">
        <x:f>Q33*(1-$F$99/4)+R32</x:f>
        <x:v>244.58330816514913</x:v>
      </x:c>
      <x:c r="S33" s="32" t="n">
        <x:f>R33*(1-$F$99/4)+S32</x:f>
        <x:v>300.2458089201947</x:v>
      </x:c>
      <x:c r="T33" s="32" t="n">
        <x:f>S33*(1-$F$99/4)+T32</x:f>
        <x:v>360.23843465258886</x:v>
      </x:c>
      <x:c r="U33" s="32" t="n">
        <x:f>T33*(1-$F$99/4)+U32</x:f>
        <x:v>424.4312816130112</x:v>
      </x:c>
      <x:c r="V33" s="32" t="n">
        <x:f>U33*(1-$F$99/4)+V32</x:f>
        <x:v>488.94834316462084</x:v>
      </x:c>
      <x:c r="W33" s="32" t="n">
        <x:f>V33*(1-$F$99/4)+W32</x:f>
        <x:v>551.5298928696823</x:v>
      </x:c>
      <x:c r="X33" s="32" t="n">
        <x:f>W33*(1-$F$99/4)+X32</x:f>
        <x:v>612.2339960835918</x:v>
      </x:c>
    </x:row>
    <x:row r="34" ht="21" customHeight="1">
      <x:c r="A34" s="1"/>
      <x:c r="B34" s="1"/>
      <x:c r="C34" s="1" t="str">
        <x:v>Home-health productive accounts</x:v>
      </x:c>
      <x:c r="D34" s="32" t="n">
        <x:f>MAX(0,D33-D32*(1-$D$82)-0*(1-$F$99/4)*(1-$D$83))</x:f>
        <x:v>0</x:v>
      </x:c>
      <x:c r="E34" s="32" t="n">
        <x:f>MAX(0,E33-E32*(1-$D$82)-D32*(1-$F$99/4)*(1-$D$83))</x:f>
        <x:v>0</x:v>
      </x:c>
      <x:c r="F34" s="32" t="n">
        <x:f>MAX(0,F33-F32*(1-$D$82)-E32*(1-$F$99/4)*(1-$D$83))</x:f>
        <x:v>0</x:v>
      </x:c>
      <x:c r="G34" s="32" t="n">
        <x:f>MAX(0,G33-G32*(1-$D$82)-F32*(1-$F$99/4)*(1-$D$83))</x:f>
        <x:v>0</x:v>
      </x:c>
      <x:c r="H34" s="32" t="n">
        <x:f>MAX(0,H33-H32*(1-$D$82)-G32*(1-$F$99/4)*(1-$D$83))</x:f>
        <x:v>0</x:v>
      </x:c>
      <x:c r="I34" s="32" t="n">
        <x:f>MAX(0,I33-I32*(1-$D$82)-H32*(1-$F$99/4)*(1-$D$83))</x:f>
        <x:v>0.3966666666666665</x:v>
      </x:c>
      <x:c r="J34" s="32" t="n">
        <x:f>MAX(0,J33-J32*(1-$D$82)-I32*(1-$F$99/4)*(1-$D$83))</x:f>
        <x:v>2.337033333333333</x:v>
      </x:c>
      <x:c r="K34" s="32" t="n">
        <x:f>MAX(0,K33-K32*(1-$D$82)-J32*(1-$F$99/4)*(1-$D$83))</x:f>
        <x:v>6.766678333333333</x:v>
      </x:c>
      <x:c r="L34" s="32" t="n">
        <x:f>MAX(0,L33-L32*(1-$D$82)-K32*(1-$F$99/4)*(1-$D$83))</x:f>
        <x:v>14.130165363203464</x:v>
      </x:c>
      <x:c r="M34" s="32" t="n">
        <x:f>MAX(0,M33-M32*(1-$D$82)-L32*(1-$F$99/4)*(1-$D$83))</x:f>
        <x:v>25.405523952535123</x:v>
      </x:c>
      <x:c r="N34" s="32" t="n">
        <x:f>MAX(0,N33-N32*(1-$D$82)-M32*(1-$F$99/4)*(1-$D$83))</x:f>
        <x:v>43.976475642371554</x:v>
      </x:c>
      <x:c r="O34" s="32" t="n">
        <x:f>MAX(0,O33-O32*(1-$D$82)-N32*(1-$F$99/4)*(1-$D$83))</x:f>
        <x:v>70.88705201675711</x:v>
      </x:c>
      <x:c r="P34" s="32" t="n">
        <x:f>MAX(0,P33-P32*(1-$D$82)-O32*(1-$F$99/4)*(1-$D$83))</x:f>
        <x:v>106.08621998750439</x:v>
      </x:c>
      <x:c r="Q34" s="32" t="n">
        <x:f>MAX(0,Q33-Q32*(1-$D$82)-P32*(1-$F$99/4)*(1-$D$83))</x:f>
        <x:v>146.92160377850425</x:v>
      </x:c>
      <x:c r="R34" s="32" t="n">
        <x:f>MAX(0,R33-R32*(1-$D$82)-Q32*(1-$F$99/4)*(1-$D$83))</x:f>
        <x:v>192.69230816514911</x:v>
      </x:c>
      <x:c r="S34" s="32" t="n">
        <x:f>MAX(0,S33-S32*(1-$D$82)-R32*(1-$F$99/4)*(1-$D$83))</x:f>
        <x:v>242.7088089201947</x:v>
      </x:c>
      <x:c r="T34" s="32" t="n">
        <x:f>MAX(0,T33-T32*(1-$D$82)-S32*(1-$F$99/4)*(1-$D$83))</x:f>
        <x:v>297.0554346525888</x:v>
      </x:c>
      <x:c r="U34" s="32" t="n">
        <x:f>MAX(0,U33-U32*(1-$D$82)-T32*(1-$F$99/4)*(1-$D$83))</x:f>
        <x:v>355.6022816130112</x:v>
      </x:c>
      <x:c r="V34" s="32" t="n">
        <x:f>MAX(0,V33-V32*(1-$D$82)-U32*(1-$F$99/4)*(1-$D$83))</x:f>
        <x:v>416.91084316462087</x:v>
      </x:c>
      <x:c r="W34" s="32" t="n">
        <x:f>MAX(0,W33-W32*(1-$D$82)-V32*(1-$F$99/4)*(1-$D$83))</x:f>
        <x:v>478.83764286968227</x:v>
      </x:c>
      <x:c r="X34" s="32" t="n">
        <x:f>MAX(0,X33-X32*(1-$D$82)-W32*(1-$F$99/4)*(1-$D$83))</x:f>
        <x:v>539.5417460835919</x:v>
      </x:c>
    </x:row>
    <x:row r="35" ht="21" customHeight="1">
      <x:c r="A35" s="1"/>
      <x:c r="B35" s="1"/>
      <x:c r="C35" s="1" t="str">
        <x:v>Home-health patient starts</x:v>
      </x:c>
      <x:c r="D35" s="32" t="n">
        <x:f>D34*$G$99*$H$99/4*D7/3</x:f>
        <x:v>0</x:v>
      </x:c>
      <x:c r="E35" s="32" t="n">
        <x:f>E34*$G$99*$H$99/4*E7/3</x:f>
        <x:v>0</x:v>
      </x:c>
      <x:c r="F35" s="32" t="n">
        <x:f>F34*$G$99*$H$99/4*F7/3</x:f>
        <x:v>0</x:v>
      </x:c>
      <x:c r="G35" s="32" t="n">
        <x:f>G34*$G$99*$H$99/4*G7/3</x:f>
        <x:v>0</x:v>
      </x:c>
      <x:c r="H35" s="32" t="n">
        <x:f>H34*$G$99*$H$99/4*H7/3</x:f>
        <x:v>0</x:v>
      </x:c>
      <x:c r="I35" s="32" t="n">
        <x:f>I34*$G$99*$H$99/4*I7/3</x:f>
        <x:v>27.766666666666662</x:v>
      </x:c>
      <x:c r="J35" s="32" t="n">
        <x:f>J34*$G$99*$H$99/4*J7/3</x:f>
        <x:v>163.59233333333333</x:v>
      </x:c>
      <x:c r="K35" s="32" t="n">
        <x:f>K34*$G$99*$H$99/4*K7/3</x:f>
        <x:v>473.6674833333334</x:v>
      </x:c>
      <x:c r="L35" s="32" t="n">
        <x:f>L34*$G$99*$H$99/4*L7/3</x:f>
        <x:v>989.1115754242425</x:v>
      </x:c>
      <x:c r="M35" s="32" t="n">
        <x:f>M34*$G$99*$H$99/4*M7/3</x:f>
        <x:v>1778.3866766774588</x:v>
      </x:c>
      <x:c r="N35" s="32" t="n">
        <x:f>N34*$G$99*$H$99/4*N7/3</x:f>
        <x:v>3078.353294966009</x:v>
      </x:c>
      <x:c r="O35" s="32" t="n">
        <x:f>O34*$G$99*$H$99/4*O7/3</x:f>
        <x:v>4962.093641172998</x:v>
      </x:c>
      <x:c r="P35" s="32" t="n">
        <x:f>P34*$G$99*$H$99/4*P7/3</x:f>
        <x:v>7426.035399125308</x:v>
      </x:c>
      <x:c r="Q35" s="32" t="n">
        <x:f>Q34*$G$99*$H$99/4*Q7/3</x:f>
        <x:v>10284.512264495297</x:v>
      </x:c>
      <x:c r="R35" s="32" t="n">
        <x:f>R34*$G$99*$H$99/4*R7/3</x:f>
        <x:v>13488.46157156044</x:v>
      </x:c>
      <x:c r="S35" s="32" t="n">
        <x:f>S34*$G$99*$H$99/4*S7/3</x:f>
        <x:v>16989.616624413633</x:v>
      </x:c>
      <x:c r="T35" s="32" t="n">
        <x:f>T34*$G$99*$H$99/4*T7/3</x:f>
        <x:v>20793.88042568122</x:v>
      </x:c>
      <x:c r="U35" s="32" t="n">
        <x:f>U34*$G$99*$H$99/4*U7/3</x:f>
        <x:v>24892.159712910787</x:v>
      </x:c>
      <x:c r="V35" s="32" t="n">
        <x:f>V34*$G$99*$H$99/4*V7/3</x:f>
        <x:v>29183.759021523463</x:v>
      </x:c>
      <x:c r="W35" s="32" t="n">
        <x:f>W34*$G$99*$H$99/4*W7/3</x:f>
        <x:v>33518.635000877766</x:v>
      </x:c>
      <x:c r="X35" s="32" t="n">
        <x:f>X34*$G$99*$H$99/4*X7/3</x:f>
        <x:v>37767.922225851435</x:v>
      </x:c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</x:row>
    <x:row r="37" ht="21" customHeight="1">
      <x:c r="A37" s="1"/>
      <x:c r="B37" s="1"/>
      <x:c r="C37" s="1" t="str">
        <x:v>Clinic evaluations initiated</x:v>
      </x:c>
      <x:c r="D37" s="32" t="n">
        <x:f>IF(SUM(D24:D26)=0,0,D29*D25/SUM(D24:D26))</x:f>
        <x:v>0</x:v>
      </x:c>
      <x:c r="E37" s="32" t="n">
        <x:f>IF(SUM(E24:E26)=0,0,E29*E25/SUM(E24:E26))</x:f>
        <x:v>0</x:v>
      </x:c>
      <x:c r="F37" s="32" t="n">
        <x:f>IF(SUM(F24:F26)=0,0,F29*F25/SUM(F24:F26))</x:f>
        <x:v>0</x:v>
      </x:c>
      <x:c r="G37" s="32" t="n">
        <x:f>IF(SUM(G24:G26)=0,0,G29*G25/SUM(G24:G26))</x:f>
        <x:v>0</x:v>
      </x:c>
      <x:c r="H37" s="32" t="n">
        <x:f>IF(SUM(H24:H26)=0,0,H29*H25/SUM(H24:H26))</x:f>
        <x:v>1.0666666666666667</x:v>
      </x:c>
      <x:c r="I37" s="32" t="n">
        <x:f>IF(SUM(I24:I26)=0,0,I29*I25/SUM(I24:I26))</x:f>
        <x:v>4.4</x:v>
      </x:c>
      <x:c r="J37" s="32" t="n">
        <x:f>IF(SUM(J24:J26)=0,0,J29*J25/SUM(J24:J26))</x:f>
        <x:v>7.488095238095238</x:v>
      </x:c>
      <x:c r="K37" s="32" t="n">
        <x:f>IF(SUM(K24:K26)=0,0,K29*K25/SUM(K24:K26))</x:f>
        <x:v>10.4</x:v>
      </x:c>
      <x:c r="L37" s="32" t="n">
        <x:f>IF(SUM(L24:L26)=0,0,L29*L25/SUM(L24:L26))</x:f>
        <x:v>16.52238805970149</x:v>
      </x:c>
      <x:c r="M37" s="32" t="n">
        <x:f>IF(SUM(M24:M26)=0,0,M29*M25/SUM(M24:M26))</x:f>
        <x:v>29.75</x:v>
      </x:c>
      <x:c r="N37" s="32" t="n">
        <x:f>IF(SUM(N24:N26)=0,0,N29*N25/SUM(N24:N26))</x:f>
        <x:v>36.020833333333336</x:v>
      </x:c>
      <x:c r="O37" s="32" t="n">
        <x:f>IF(SUM(O24:O26)=0,0,O29*O25/SUM(O24:O26))</x:f>
        <x:v>44</x:v>
      </x:c>
      <x:c r="P37" s="32" t="n">
        <x:f>IF(SUM(P24:P26)=0,0,P29*P25/SUM(P24:P26))</x:f>
        <x:v>49</x:v>
      </x:c>
      <x:c r="Q37" s="32" t="n">
        <x:f>IF(SUM(Q24:Q26)=0,0,Q29*Q25/SUM(Q24:Q26))</x:f>
        <x:v>56</x:v>
      </x:c>
      <x:c r="R37" s="32" t="n">
        <x:f>IF(SUM(R24:R26)=0,0,R29*R25/SUM(R24:R26))</x:f>
        <x:v>61</x:v>
      </x:c>
      <x:c r="S37" s="32" t="n">
        <x:f>IF(SUM(S24:S26)=0,0,S29*S25/SUM(S24:S26))</x:f>
        <x:v>67</x:v>
      </x:c>
      <x:c r="T37" s="32" t="n">
        <x:f>IF(SUM(T24:T26)=0,0,T29*T25/SUM(T24:T26))</x:f>
        <x:v>72</x:v>
      </x:c>
      <x:c r="U37" s="32" t="n">
        <x:f>IF(SUM(U24:U26)=0,0,U29*U25/SUM(U24:U26))</x:f>
        <x:v>75</x:v>
      </x:c>
      <x:c r="V37" s="32" t="n">
        <x:f>IF(SUM(V24:V26)=0,0,V29*V25/SUM(V24:V26))</x:f>
        <x:v>75</x:v>
      </x:c>
      <x:c r="W37" s="32" t="n">
        <x:f>IF(SUM(W24:W26)=0,0,W29*W25/SUM(W24:W26))</x:f>
        <x:v>75</x:v>
      </x:c>
      <x:c r="X37" s="32" t="n">
        <x:f>IF(SUM(X24:X26)=0,0,X29*X25/SUM(X24:X26))</x:f>
        <x:v>75</x:v>
      </x:c>
    </x:row>
    <x:row r="38" ht="21" customHeight="1">
      <x:c r="A38" s="1"/>
      <x:c r="B38" s="1"/>
      <x:c r="C38" s="1" t="str">
        <x:v>Clinic conversions</x:v>
      </x:c>
      <x:c r="D38" s="32" t="n">
        <x:f>IF(1&lt;=$D$100,0,INDEX($D$37:$X$37,1,MAX(1,1-$D$100)))*$E$100</x:f>
        <x:v>0</x:v>
      </x:c>
      <x:c r="E38" s="32" t="n">
        <x:f>IF(2&lt;=$D$100,0,INDEX($D$37:$X$37,1,MAX(1,2-$D$100)))*$E$100</x:f>
        <x:v>0</x:v>
      </x:c>
      <x:c r="F38" s="32" t="n">
        <x:f>IF(3&lt;=$D$100,0,INDEX($D$37:$X$37,1,MAX(1,3-$D$100)))*$E$100</x:f>
        <x:v>0</x:v>
      </x:c>
      <x:c r="G38" s="32" t="n">
        <x:f>IF(4&lt;=$D$100,0,INDEX($D$37:$X$37,1,MAX(1,4-$D$100)))*$E$100</x:f>
        <x:v>0</x:v>
      </x:c>
      <x:c r="H38" s="32" t="n">
        <x:f>IF(5&lt;=$D$100,0,INDEX($D$37:$X$37,1,MAX(1,5-$D$100)))*$E$100</x:f>
        <x:v>0</x:v>
      </x:c>
      <x:c r="I38" s="32" t="n">
        <x:f>IF(6&lt;=$D$100,0,INDEX($D$37:$X$37,1,MAX(1,6-$D$100)))*$E$100</x:f>
        <x:v>0</x:v>
      </x:c>
      <x:c r="J38" s="32" t="n">
        <x:f>IF(7&lt;=$D$100,0,INDEX($D$37:$X$37,1,MAX(1,7-$D$100)))*$E$100</x:f>
        <x:v>0.6933333333333334</x:v>
      </x:c>
      <x:c r="K38" s="32" t="n">
        <x:f>IF(8&lt;=$D$100,0,INDEX($D$37:$X$37,1,MAX(1,8-$D$100)))*$E$100</x:f>
        <x:v>2.8600000000000003</x:v>
      </x:c>
      <x:c r="L38" s="32" t="n">
        <x:f>IF(9&lt;=$D$100,0,INDEX($D$37:$X$37,1,MAX(1,9-$D$100)))*$E$100</x:f>
        <x:v>4.867261904761905</x:v>
      </x:c>
      <x:c r="M38" s="32" t="n">
        <x:f>IF(10&lt;=$D$100,0,INDEX($D$37:$X$37,1,MAX(1,10-$D$100)))*$E$100</x:f>
        <x:v>6.760000000000001</x:v>
      </x:c>
      <x:c r="N38" s="32" t="n">
        <x:f>IF(11&lt;=$D$100,0,INDEX($D$37:$X$37,1,MAX(1,11-$D$100)))*$E$100</x:f>
        <x:v>10.73955223880597</x:v>
      </x:c>
      <x:c r="O38" s="32" t="n">
        <x:f>IF(12&lt;=$D$100,0,INDEX($D$37:$X$37,1,MAX(1,12-$D$100)))*$E$100</x:f>
        <x:v>19.337500000000002</x:v>
      </x:c>
      <x:c r="P38" s="32" t="n">
        <x:f>IF(13&lt;=$D$100,0,INDEX($D$37:$X$37,1,MAX(1,13-$D$100)))*$E$100</x:f>
        <x:v>23.41354166666667</x:v>
      </x:c>
      <x:c r="Q38" s="32" t="n">
        <x:f>IF(14&lt;=$D$100,0,INDEX($D$37:$X$37,1,MAX(1,14-$D$100)))*$E$100</x:f>
        <x:v>28.6</x:v>
      </x:c>
      <x:c r="R38" s="32" t="n">
        <x:f>IF(15&lt;=$D$100,0,INDEX($D$37:$X$37,1,MAX(1,15-$D$100)))*$E$100</x:f>
        <x:v>31.85</x:v>
      </x:c>
      <x:c r="S38" s="32" t="n">
        <x:f>IF(16&lt;=$D$100,0,INDEX($D$37:$X$37,1,MAX(1,16-$D$100)))*$E$100</x:f>
        <x:v>36.4</x:v>
      </x:c>
      <x:c r="T38" s="32" t="n">
        <x:f>IF(17&lt;=$D$100,0,INDEX($D$37:$X$37,1,MAX(1,17-$D$100)))*$E$100</x:f>
        <x:v>39.65</x:v>
      </x:c>
      <x:c r="U38" s="32" t="n">
        <x:f>IF(18&lt;=$D$100,0,INDEX($D$37:$X$37,1,MAX(1,18-$D$100)))*$E$100</x:f>
        <x:v>43.550000000000004</x:v>
      </x:c>
      <x:c r="V38" s="32" t="n">
        <x:f>IF(19&lt;=$D$100,0,INDEX($D$37:$X$37,1,MAX(1,19-$D$100)))*$E$100</x:f>
        <x:v>46.800000000000004</x:v>
      </x:c>
      <x:c r="W38" s="32" t="n">
        <x:f>IF(20&lt;=$D$100,0,INDEX($D$37:$X$37,1,MAX(1,20-$D$100)))*$E$100</x:f>
        <x:v>48.75</x:v>
      </x:c>
      <x:c r="X38" s="32" t="n">
        <x:f>IF(21&lt;=$D$100,0,INDEX($D$37:$X$37,1,MAX(1,21-$D$100)))*$E$100</x:f>
        <x:v>48.75</x:v>
      </x:c>
    </x:row>
    <x:row r="39" ht="21" customHeight="1">
      <x:c r="A39" s="1"/>
      <x:c r="B39" s="1"/>
      <x:c r="C39" s="1" t="str">
        <x:v>Clinic paid accounts</x:v>
      </x:c>
      <x:c r="D39" s="32" t="n">
        <x:f>0*(1-$F$100/4)+D38</x:f>
        <x:v>0</x:v>
      </x:c>
      <x:c r="E39" s="32" t="n">
        <x:f>D39*(1-$F$100/4)+E38</x:f>
        <x:v>0</x:v>
      </x:c>
      <x:c r="F39" s="32" t="n">
        <x:f>E39*(1-$F$100/4)+F38</x:f>
        <x:v>0</x:v>
      </x:c>
      <x:c r="G39" s="32" t="n">
        <x:f>F39*(1-$F$100/4)+G38</x:f>
        <x:v>0</x:v>
      </x:c>
      <x:c r="H39" s="32" t="n">
        <x:f>G39*(1-$F$100/4)+H38</x:f>
        <x:v>0</x:v>
      </x:c>
      <x:c r="I39" s="32" t="n">
        <x:f>H39*(1-$F$100/4)+I38</x:f>
        <x:v>0</x:v>
      </x:c>
      <x:c r="J39" s="32" t="n">
        <x:f>I39*(1-$F$100/4)+J38</x:f>
        <x:v>0.6933333333333334</x:v>
      </x:c>
      <x:c r="K39" s="32" t="n">
        <x:f>J39*(1-$F$100/4)+K38</x:f>
        <x:v>3.5360000000000005</x:v>
      </x:c>
      <x:c r="L39" s="32" t="n">
        <x:f>K39*(1-$F$100/4)+L38</x:f>
        <x:v>8.314861904761905</x:v>
      </x:c>
      <x:c r="M39" s="32" t="n">
        <x:f>L39*(1-$F$100/4)+M38</x:f>
        <x:v>14.866990357142857</x:v>
      </x:c>
      <x:c r="N39" s="32" t="n">
        <x:f>M39*(1-$F$100/4)+N38</x:f>
        <x:v>25.234867837020253</x:v>
      </x:c>
      <x:c r="O39" s="32" t="n">
        <x:f>N39*(1-$F$100/4)+O38</x:f>
        <x:v>43.941496141094746</x:v>
      </x:c>
      <x:c r="P39" s="32" t="n">
        <x:f>O39*(1-$F$100/4)+P38</x:f>
        <x:v>66.25650040423405</x:v>
      </x:c>
      <x:c r="Q39" s="32" t="n">
        <x:f>P39*(1-$F$100/4)+Q38</x:f>
        <x:v>93.20008789412819</x:v>
      </x:c>
      <x:c r="R39" s="32" t="n">
        <x:f>Q39*(1-$F$100/4)+R38</x:f>
        <x:v>122.72008569677499</x:v>
      </x:c>
      <x:c r="S39" s="32" t="n">
        <x:f>R39*(1-$F$100/4)+S38</x:f>
        <x:v>156.05208355435562</x:v>
      </x:c>
      <x:c r="T39" s="32" t="n">
        <x:f>S39*(1-$F$100/4)+T38</x:f>
        <x:v>191.80078146549673</x:v>
      </x:c>
      <x:c r="U39" s="32" t="n">
        <x:f>T39*(1-$F$100/4)+U38</x:f>
        <x:v>230.5557619288593</x:v>
      </x:c>
      <x:c r="V39" s="32" t="n">
        <x:f>U39*(1-$F$100/4)+V38</x:f>
        <x:v>271.59186788063784</x:v>
      </x:c>
      <x:c r="W39" s="32" t="n">
        <x:f>V39*(1-$F$100/4)+W38</x:f>
        <x:v>313.5520711836219</x:v>
      </x:c>
      <x:c r="X39" s="32" t="n">
        <x:f>W39*(1-$F$100/4)+X38</x:f>
        <x:v>354.46326940403134</x:v>
      </x:c>
    </x:row>
    <x:row r="40" ht="21" customHeight="1">
      <x:c r="A40" s="1"/>
      <x:c r="B40" s="1"/>
      <x:c r="C40" s="1" t="str">
        <x:v>Clinic productive accounts</x:v>
      </x:c>
      <x:c r="D40" s="32" t="n">
        <x:f>MAX(0,D39-D38*(1-$D$82)-0*(1-$F$100/4)*(1-$D$83))</x:f>
        <x:v>0</x:v>
      </x:c>
      <x:c r="E40" s="32" t="n">
        <x:f>MAX(0,E39-E38*(1-$D$82)-D38*(1-$F$100/4)*(1-$D$83))</x:f>
        <x:v>0</x:v>
      </x:c>
      <x:c r="F40" s="32" t="n">
        <x:f>MAX(0,F39-F38*(1-$D$82)-E38*(1-$F$100/4)*(1-$D$83))</x:f>
        <x:v>0</x:v>
      </x:c>
      <x:c r="G40" s="32" t="n">
        <x:f>MAX(0,G39-G38*(1-$D$82)-F38*(1-$F$100/4)*(1-$D$83))</x:f>
        <x:v>0</x:v>
      </x:c>
      <x:c r="H40" s="32" t="n">
        <x:f>MAX(0,H39-H38*(1-$D$82)-G38*(1-$F$100/4)*(1-$D$83))</x:f>
        <x:v>0</x:v>
      </x:c>
      <x:c r="I40" s="32" t="n">
        <x:f>MAX(0,I39-I38*(1-$D$82)-H38*(1-$F$100/4)*(1-$D$83))</x:f>
        <x:v>0</x:v>
      </x:c>
      <x:c r="J40" s="32" t="n">
        <x:f>MAX(0,J39-J38*(1-$D$82)-I38*(1-$F$100/4)*(1-$D$83))</x:f>
        <x:v>0.24266666666666664</x:v>
      </x:c>
      <x:c r="K40" s="32" t="n">
        <x:f>MAX(0,K39-K38*(1-$D$82)-J38*(1-$F$100/4)*(1-$D$83))</x:f>
        <x:v>1.4742000000000002</x:v>
      </x:c>
      <x:c r="L40" s="32" t="n">
        <x:f>MAX(0,L39-L38*(1-$D$82)-K38*(1-$F$100/4)*(1-$D$83))</x:f>
        <x:v>4.314591666666667</x:v>
      </x:c>
      <x:c r="M40" s="32" t="n">
        <x:f>MAX(0,M39-M38*(1-$D$82)-L38*(1-$F$100/4)*(1-$D$83))</x:f>
        <x:v>9.049316249999997</x:v>
      </x:c>
      <x:c r="N40" s="32" t="n">
        <x:f>MAX(0,N39-N38*(1-$D$82)-M38*(1-$F$100/4)*(1-$D$83))</x:f>
        <x:v>16.27685888179637</x:v>
      </x:c>
      <x:c r="O40" s="32" t="n">
        <x:f>MAX(0,O39-O38*(1-$D$82)-N38*(1-$F$100/4)*(1-$D$83))</x:f>
        <x:v>28.230802111243996</x:v>
      </x:c>
      <x:c r="P40" s="32" t="n">
        <x:f>MAX(0,P39-P38*(1-$D$82)-O38*(1-$F$100/4)*(1-$D$83))</x:f>
        <x:v>45.38147957090071</x:v>
      </x:c>
      <x:c r="Q40" s="32" t="n">
        <x:f>MAX(0,Q39-Q38*(1-$D$82)-P38*(1-$F$100/4)*(1-$D$83))</x:f>
        <x:v>67.76162695662818</x:v>
      </x:c>
      <x:c r="R40" s="32" t="n">
        <x:f>MAX(0,R39-R38*(1-$D$82)-Q38*(1-$F$100/4)*(1-$D$83))</x:f>
        <x:v>93.65208569677499</x:v>
      </x:c>
      <x:c r="S40" s="32" t="n">
        <x:f>MAX(0,S39-S38*(1-$D$82)-R38*(1-$F$100/4)*(1-$D$83))</x:f>
        <x:v>123.07595855435562</x:v>
      </x:c>
      <x:c r="T40" s="32" t="n">
        <x:f>MAX(0,T39-T38*(1-$D$82)-S38*(1-$F$100/4)*(1-$D$83))</x:f>
        <x:v>155.38128146549673</x:v>
      </x:c>
      <x:c r="U40" s="32" t="n">
        <x:f>MAX(0,U39-U38*(1-$D$82)-T38*(1-$F$100/4)*(1-$D$83))</x:f>
        <x:v>190.6506369288593</x:v>
      </x:c>
      <x:c r="V40" s="32" t="n">
        <x:f>MAX(0,V39-V38*(1-$D$82)-U38*(1-$F$100/4)*(1-$D$83))</x:f>
        <x:v>228.43349288063783</x:v>
      </x:c>
      <x:c r="W40" s="32" t="n">
        <x:f>MAX(0,W39-W38*(1-$D$82)-V38*(1-$F$100/4)*(1-$D$83))</x:f>
        <x:v>268.17557118362186</x:v>
      </x:c>
      <x:c r="X40" s="32" t="n">
        <x:f>MAX(0,X39-X38*(1-$D$82)-W38*(1-$F$100/4)*(1-$D$83))</x:f>
        <x:v>308.51639440403136</x:v>
      </x:c>
    </x:row>
    <x:row r="41" ht="21" customHeight="1">
      <x:c r="A41" s="1"/>
      <x:c r="B41" s="1"/>
      <x:c r="C41" s="1" t="str">
        <x:v>Clinic patient starts</x:v>
      </x:c>
      <x:c r="D41" s="32" t="n">
        <x:f>D40*$G$100*$H$100/4*D7/3</x:f>
        <x:v>0</x:v>
      </x:c>
      <x:c r="E41" s="32" t="n">
        <x:f>E40*$G$100*$H$100/4*E7/3</x:f>
        <x:v>0</x:v>
      </x:c>
      <x:c r="F41" s="32" t="n">
        <x:f>F40*$G$100*$H$100/4*F7/3</x:f>
        <x:v>0</x:v>
      </x:c>
      <x:c r="G41" s="32" t="n">
        <x:f>G40*$G$100*$H$100/4*G7/3</x:f>
        <x:v>0</x:v>
      </x:c>
      <x:c r="H41" s="32" t="n">
        <x:f>H40*$G$100*$H$100/4*H7/3</x:f>
        <x:v>0</x:v>
      </x:c>
      <x:c r="I41" s="32" t="n">
        <x:f>I40*$G$100*$H$100/4*I7/3</x:f>
        <x:v>0</x:v>
      </x:c>
      <x:c r="J41" s="32" t="n">
        <x:f>J40*$G$100*$H$100/4*J7/3</x:f>
        <x:v>3.276</x:v>
      </x:c>
      <x:c r="K41" s="32" t="n">
        <x:f>K40*$G$100*$H$100/4*K7/3</x:f>
        <x:v>19.9017</x:v>
      </x:c>
      <x:c r="L41" s="32" t="n">
        <x:f>L40*$G$100*$H$100/4*L7/3</x:f>
        <x:v>58.24698750000001</x:v>
      </x:c>
      <x:c r="M41" s="32" t="n">
        <x:f>M40*$G$100*$H$100/4*M7/3</x:f>
        <x:v>122.16576937499995</x:v>
      </x:c>
      <x:c r="N41" s="32" t="n">
        <x:f>N40*$G$100*$H$100/4*N7/3</x:f>
        <x:v>219.73759490425104</x:v>
      </x:c>
      <x:c r="O41" s="32" t="n">
        <x:f>O40*$G$100*$H$100/4*O7/3</x:f>
        <x:v>381.11582850179394</x:v>
      </x:c>
      <x:c r="P41" s="32" t="n">
        <x:f>P40*$G$100*$H$100/4*P7/3</x:f>
        <x:v>612.6499742071595</x:v>
      </x:c>
      <x:c r="Q41" s="32" t="n">
        <x:f>Q40*$G$100*$H$100/4*Q7/3</x:f>
        <x:v>914.7819639144805</x:v>
      </x:c>
      <x:c r="R41" s="32" t="n">
        <x:f>R40*$G$100*$H$100/4*R7/3</x:f>
        <x:v>1264.3031569064624</x:v>
      </x:c>
      <x:c r="S41" s="32" t="n">
        <x:f>S40*$G$100*$H$100/4*S7/3</x:f>
        <x:v>1661.5254404838008</x:v>
      </x:c>
      <x:c r="T41" s="32" t="n">
        <x:f>T40*$G$100*$H$100/4*T7/3</x:f>
        <x:v>2097.6472997842056</x:v>
      </x:c>
      <x:c r="U41" s="32" t="n">
        <x:f>U40*$G$100*$H$100/4*U7/3</x:f>
        <x:v>2573.7835985396005</x:v>
      </x:c>
      <x:c r="V41" s="32" t="n">
        <x:f>V40*$G$100*$H$100/4*V7/3</x:f>
        <x:v>3083.8521538886107</x:v>
      </x:c>
      <x:c r="W41" s="32" t="n">
        <x:f>W40*$G$100*$H$100/4*W7/3</x:f>
        <x:v>3620.370210978895</x:v>
      </x:c>
      <x:c r="X41" s="32" t="n">
        <x:f>X40*$G$100*$H$100/4*X7/3</x:f>
        <x:v>4164.971324454423</x:v>
      </x:c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</x:row>
    <x:row r="43" ht="21" customHeight="1">
      <x:c r="A43" s="1"/>
      <x:c r="B43" s="1"/>
      <x:c r="C43" s="1" t="str">
        <x:v>System evaluations initiated</x:v>
      </x:c>
      <x:c r="D43" s="32" t="n">
        <x:f>IF(SUM(D24:D26)=0,0,D29*D26/SUM(D24:D26))</x:f>
        <x:v>0</x:v>
      </x:c>
      <x:c r="E43" s="32" t="n">
        <x:f>IF(SUM(E24:E26)=0,0,E29*E26/SUM(E24:E26))</x:f>
        <x:v>0</x:v>
      </x:c>
      <x:c r="F43" s="32" t="n">
        <x:f>IF(SUM(F24:F26)=0,0,F29*F26/SUM(F24:F26))</x:f>
        <x:v>0</x:v>
      </x:c>
      <x:c r="G43" s="32" t="n">
        <x:f>IF(SUM(G24:G26)=0,0,G29*G26/SUM(G24:G26))</x:f>
        <x:v>0</x:v>
      </x:c>
      <x:c r="H43" s="32" t="n">
        <x:f>IF(SUM(H24:H26)=0,0,H29*H26/SUM(H24:H26))</x:f>
        <x:v>0.08888888888888888</x:v>
      </x:c>
      <x:c r="I43" s="32" t="n">
        <x:f>IF(SUM(I24:I26)=0,0,I29*I26/SUM(I24:I26))</x:f>
        <x:v>0.6285714285714286</x:v>
      </x:c>
      <x:c r="J43" s="32" t="n">
        <x:f>IF(SUM(J24:J26)=0,0,J29*J26/SUM(J24:J26))</x:f>
        <x:v>0.8809523809523809</x:v>
      </x:c>
      <x:c r="K43" s="32" t="n">
        <x:f>IF(SUM(K24:K26)=0,0,K29*K26/SUM(K24:K26))</x:f>
        <x:v>1.4181818181818182</x:v>
      </x:c>
      <x:c r="L43" s="32" t="n">
        <x:f>IF(SUM(L24:L26)=0,0,L29*L26/SUM(L24:L26))</x:f>
        <x:v>1.835820895522388</x:v>
      </x:c>
      <x:c r="M43" s="32" t="n">
        <x:f>IF(SUM(M24:M26)=0,0,M29*M26/SUM(M24:M26))</x:f>
        <x:v>3.5</x:v>
      </x:c>
      <x:c r="N43" s="32" t="n">
        <x:f>IF(SUM(N24:N26)=0,0,N29*N26/SUM(N24:N26))</x:f>
        <x:v>4.739583333333333</x:v>
      </x:c>
      <x:c r="O43" s="32" t="n">
        <x:f>IF(SUM(O24:O26)=0,0,O29*O26/SUM(O24:O26))</x:f>
        <x:v>5</x:v>
      </x:c>
      <x:c r="P43" s="32" t="n">
        <x:f>IF(SUM(P24:P26)=0,0,P29*P26/SUM(P24:P26))</x:f>
        <x:v>6</x:v>
      </x:c>
      <x:c r="Q43" s="32" t="n">
        <x:f>IF(SUM(Q24:Q26)=0,0,Q29*Q26/SUM(Q24:Q26))</x:f>
        <x:v>7</x:v>
      </x:c>
      <x:c r="R43" s="32" t="n">
        <x:f>IF(SUM(R24:R26)=0,0,R29*R26/SUM(R24:R26))</x:f>
        <x:v>8</x:v>
      </x:c>
      <x:c r="S43" s="32" t="n">
        <x:f>IF(SUM(S24:S26)=0,0,S29*S26/SUM(S24:S26))</x:f>
        <x:v>8</x:v>
      </x:c>
      <x:c r="T43" s="32" t="n">
        <x:f>IF(SUM(T24:T26)=0,0,T29*T26/SUM(T24:T26))</x:f>
        <x:v>9</x:v>
      </x:c>
      <x:c r="U43" s="32" t="n">
        <x:f>IF(SUM(U24:U26)=0,0,U29*U26/SUM(U24:U26))</x:f>
        <x:v>10</x:v>
      </x:c>
      <x:c r="V43" s="32" t="n">
        <x:f>IF(SUM(V24:V26)=0,0,V29*V26/SUM(V24:V26))</x:f>
        <x:v>10</x:v>
      </x:c>
      <x:c r="W43" s="32" t="n">
        <x:f>IF(SUM(W24:W26)=0,0,W29*W26/SUM(W24:W26))</x:f>
        <x:v>10</x:v>
      </x:c>
      <x:c r="X43" s="32" t="n">
        <x:f>IF(SUM(X24:X26)=0,0,X29*X26/SUM(X24:X26))</x:f>
        <x:v>10</x:v>
      </x:c>
    </x:row>
    <x:row r="44" ht="21" customHeight="1">
      <x:c r="A44" s="1"/>
      <x:c r="B44" s="1"/>
      <x:c r="C44" s="1" t="str">
        <x:v>System conversions</x:v>
      </x:c>
      <x:c r="D44" s="32" t="n">
        <x:f>IF(1&lt;=$D$101,0,INDEX($D$43:$X$43,1,MAX(1,1-$D$101)))*$E$101</x:f>
        <x:v>0</x:v>
      </x:c>
      <x:c r="E44" s="32" t="n">
        <x:f>IF(2&lt;=$D$101,0,INDEX($D$43:$X$43,1,MAX(1,2-$D$101)))*$E$101</x:f>
        <x:v>0</x:v>
      </x:c>
      <x:c r="F44" s="32" t="n">
        <x:f>IF(3&lt;=$D$101,0,INDEX($D$43:$X$43,1,MAX(1,3-$D$101)))*$E$101</x:f>
        <x:v>0</x:v>
      </x:c>
      <x:c r="G44" s="32" t="n">
        <x:f>IF(4&lt;=$D$101,0,INDEX($D$43:$X$43,1,MAX(1,4-$D$101)))*$E$101</x:f>
        <x:v>0</x:v>
      </x:c>
      <x:c r="H44" s="32" t="n">
        <x:f>IF(5&lt;=$D$101,0,INDEX($D$43:$X$43,1,MAX(1,5-$D$101)))*$E$101</x:f>
        <x:v>0</x:v>
      </x:c>
      <x:c r="I44" s="32" t="n">
        <x:f>IF(6&lt;=$D$101,0,INDEX($D$43:$X$43,1,MAX(1,6-$D$101)))*$E$101</x:f>
        <x:v>0</x:v>
      </x:c>
      <x:c r="J44" s="32" t="n">
        <x:f>IF(7&lt;=$D$101,0,INDEX($D$43:$X$43,1,MAX(1,7-$D$101)))*$E$101</x:f>
        <x:v>0</x:v>
      </x:c>
      <x:c r="K44" s="32" t="n">
        <x:f>IF(8&lt;=$D$101,0,INDEX($D$43:$X$43,1,MAX(1,8-$D$101)))*$E$101</x:f>
        <x:v>0.04444444444444444</x:v>
      </x:c>
      <x:c r="L44" s="32" t="n">
        <x:f>IF(9&lt;=$D$101,0,INDEX($D$43:$X$43,1,MAX(1,9-$D$101)))*$E$101</x:f>
        <x:v>0.3142857142857143</x:v>
      </x:c>
      <x:c r="M44" s="32" t="n">
        <x:f>IF(10&lt;=$D$101,0,INDEX($D$43:$X$43,1,MAX(1,10-$D$101)))*$E$101</x:f>
        <x:v>0.44047619047619047</x:v>
      </x:c>
      <x:c r="N44" s="32" t="n">
        <x:f>IF(11&lt;=$D$101,0,INDEX($D$43:$X$43,1,MAX(1,11-$D$101)))*$E$101</x:f>
        <x:v>0.7090909090909091</x:v>
      </x:c>
      <x:c r="O44" s="32" t="n">
        <x:f>IF(12&lt;=$D$101,0,INDEX($D$43:$X$43,1,MAX(1,12-$D$101)))*$E$101</x:f>
        <x:v>0.917910447761194</x:v>
      </x:c>
      <x:c r="P44" s="32" t="n">
        <x:f>IF(13&lt;=$D$101,0,INDEX($D$43:$X$43,1,MAX(1,13-$D$101)))*$E$101</x:f>
        <x:v>1.75</x:v>
      </x:c>
      <x:c r="Q44" s="32" t="n">
        <x:f>IF(14&lt;=$D$101,0,INDEX($D$43:$X$43,1,MAX(1,14-$D$101)))*$E$101</x:f>
        <x:v>2.3697916666666665</x:v>
      </x:c>
      <x:c r="R44" s="32" t="n">
        <x:f>IF(15&lt;=$D$101,0,INDEX($D$43:$X$43,1,MAX(1,15-$D$101)))*$E$101</x:f>
        <x:v>2.5</x:v>
      </x:c>
      <x:c r="S44" s="32" t="n">
        <x:f>IF(16&lt;=$D$101,0,INDEX($D$43:$X$43,1,MAX(1,16-$D$101)))*$E$101</x:f>
        <x:v>3</x:v>
      </x:c>
      <x:c r="T44" s="32" t="n">
        <x:f>IF(17&lt;=$D$101,0,INDEX($D$43:$X$43,1,MAX(1,17-$D$101)))*$E$101</x:f>
        <x:v>3.5</x:v>
      </x:c>
      <x:c r="U44" s="32" t="n">
        <x:f>IF(18&lt;=$D$101,0,INDEX($D$43:$X$43,1,MAX(1,18-$D$101)))*$E$101</x:f>
        <x:v>4</x:v>
      </x:c>
      <x:c r="V44" s="32" t="n">
        <x:f>IF(19&lt;=$D$101,0,INDEX($D$43:$X$43,1,MAX(1,19-$D$101)))*$E$101</x:f>
        <x:v>4</x:v>
      </x:c>
      <x:c r="W44" s="32" t="n">
        <x:f>IF(20&lt;=$D$101,0,INDEX($D$43:$X$43,1,MAX(1,20-$D$101)))*$E$101</x:f>
        <x:v>4.5</x:v>
      </x:c>
      <x:c r="X44" s="32" t="n">
        <x:f>IF(21&lt;=$D$101,0,INDEX($D$43:$X$43,1,MAX(1,21-$D$101)))*$E$101</x:f>
        <x:v>5</x:v>
      </x:c>
    </x:row>
    <x:row r="45" ht="21" customHeight="1">
      <x:c r="A45" s="1"/>
      <x:c r="B45" s="1"/>
      <x:c r="C45" s="1" t="str">
        <x:v>System paid accounts</x:v>
      </x:c>
      <x:c r="D45" s="32" t="n">
        <x:f>0*(1-$F$101/4)+D44</x:f>
        <x:v>0</x:v>
      </x:c>
      <x:c r="E45" s="32" t="n">
        <x:f>D45*(1-$F$101/4)+E44</x:f>
        <x:v>0</x:v>
      </x:c>
      <x:c r="F45" s="32" t="n">
        <x:f>E45*(1-$F$101/4)+F44</x:f>
        <x:v>0</x:v>
      </x:c>
      <x:c r="G45" s="32" t="n">
        <x:f>F45*(1-$F$101/4)+G44</x:f>
        <x:v>0</x:v>
      </x:c>
      <x:c r="H45" s="32" t="n">
        <x:f>G45*(1-$F$101/4)+H44</x:f>
        <x:v>0</x:v>
      </x:c>
      <x:c r="I45" s="32" t="n">
        <x:f>H45*(1-$F$101/4)+I44</x:f>
        <x:v>0</x:v>
      </x:c>
      <x:c r="J45" s="32" t="n">
        <x:f>I45*(1-$F$101/4)+J44</x:f>
        <x:v>0</x:v>
      </x:c>
      <x:c r="K45" s="32" t="n">
        <x:f>J45*(1-$F$101/4)+K44</x:f>
        <x:v>0.04444444444444444</x:v>
      </x:c>
      <x:c r="L45" s="32" t="n">
        <x:f>K45*(1-$F$101/4)+L44</x:f>
        <x:v>0.35806349206349203</x:v>
      </x:c>
      <x:c r="M45" s="32" t="n">
        <x:f>L45*(1-$F$101/4)+M44</x:f>
        <x:v>0.7931687301587301</x:v>
      </x:c>
      <x:c r="N45" s="32" t="n">
        <x:f>M45*(1-$F$101/4)+N44</x:f>
        <x:v>1.4903621082972582</x:v>
      </x:c>
      <x:c r="O45" s="32" t="n">
        <x:f>N45*(1-$F$101/4)+O44</x:f>
        <x:v>2.3859171244339934</x:v>
      </x:c>
      <x:c r="P45" s="32" t="n">
        <x:f>O45*(1-$F$101/4)+P44</x:f>
        <x:v>4.100128367567484</x:v>
      </x:c>
      <x:c r="Q45" s="32" t="n">
        <x:f>P45*(1-$F$101/4)+Q44</x:f>
        <x:v>6.408418108720637</x:v>
      </x:c>
      <x:c r="R45" s="32" t="n">
        <x:f>Q45*(1-$F$101/4)+R44</x:f>
        <x:v>8.812291837089827</x:v>
      </x:c>
      <x:c r="S45" s="32" t="n">
        <x:f>R45*(1-$F$101/4)+S44</x:f>
        <x:v>11.68010745953348</x:v>
      </x:c>
      <x:c r="T45" s="32" t="n">
        <x:f>S45*(1-$F$101/4)+T44</x:f>
        <x:v>15.004905847640478</x:v>
      </x:c>
      <x:c r="U45" s="32" t="n">
        <x:f>T45*(1-$F$101/4)+U44</x:f>
        <x:v>18.77983225992587</x:v>
      </x:c>
      <x:c r="V45" s="32" t="n">
        <x:f>U45*(1-$F$101/4)+V44</x:f>
        <x:v>22.49813477602698</x:v>
      </x:c>
      <x:c r="W45" s="32" t="n">
        <x:f>V45*(1-$F$101/4)+W44</x:f>
        <x:v>26.660662754386575</x:v>
      </x:c>
      <x:c r="X45" s="32" t="n">
        <x:f>W45*(1-$F$101/4)+X44</x:f>
        <x:v>31.260752813070777</x:v>
      </x:c>
    </x:row>
    <x:row r="46" ht="21" customHeight="1">
      <x:c r="A46" s="1"/>
      <x:c r="B46" s="1"/>
      <x:c r="C46" s="1" t="str">
        <x:v>System productive accounts</x:v>
      </x:c>
      <x:c r="D46" s="32" t="n">
        <x:f>MAX(0,D45-D44*(1-$D$82)-0*(1-$F$101/4)*(1-$D$83))</x:f>
        <x:v>0</x:v>
      </x:c>
      <x:c r="E46" s="32" t="n">
        <x:f>MAX(0,E45-E44*(1-$D$82)-D44*(1-$F$101/4)*(1-$D$83))</x:f>
        <x:v>0</x:v>
      </x:c>
      <x:c r="F46" s="32" t="n">
        <x:f>MAX(0,F45-F44*(1-$D$82)-E44*(1-$F$101/4)*(1-$D$83))</x:f>
        <x:v>0</x:v>
      </x:c>
      <x:c r="G46" s="32" t="n">
        <x:f>MAX(0,G45-G44*(1-$D$82)-F44*(1-$F$101/4)*(1-$D$83))</x:f>
        <x:v>0</x:v>
      </x:c>
      <x:c r="H46" s="32" t="n">
        <x:f>MAX(0,H45-H44*(1-$D$82)-G44*(1-$F$101/4)*(1-$D$83))</x:f>
        <x:v>0</x:v>
      </x:c>
      <x:c r="I46" s="32" t="n">
        <x:f>MAX(0,I45-I44*(1-$D$82)-H44*(1-$F$101/4)*(1-$D$83))</x:f>
        <x:v>0</x:v>
      </x:c>
      <x:c r="J46" s="32" t="n">
        <x:f>MAX(0,J45-J44*(1-$D$82)-I44*(1-$F$101/4)*(1-$D$83))</x:f>
        <x:v>0</x:v>
      </x:c>
      <x:c r="K46" s="32" t="n">
        <x:f>MAX(0,K45-K44*(1-$D$82)-J44*(1-$F$101/4)*(1-$D$83))</x:f>
        <x:v>0.015555555555555552</x:v>
      </x:c>
      <x:c r="L46" s="32" t="n">
        <x:f>MAX(0,L45-L44*(1-$D$82)-K44*(1-$F$101/4)*(1-$D$83))</x:f>
        <x:v>0.1406444444444444</x:v>
      </x:c>
      <x:c r="M46" s="32" t="n">
        <x:f>MAX(0,M45-M44*(1-$D$82)-L44*(1-$F$101/4)*(1-$D$83))</x:f>
        <x:v>0.41398777777777773</x:v>
      </x:c>
      <x:c r="N46" s="32" t="n">
        <x:f>MAX(0,N45-N44*(1-$D$82)-M44*(1-$F$101/4)*(1-$D$83))</x:f>
        <x:v>0.899292303102453</x:v>
      </x:c>
      <x:c r="O46" s="32" t="n">
        <x:f>MAX(0,O45-O44*(1-$D$82)-N44*(1-$F$101/4)*(1-$D$83))</x:f>
        <x:v>1.5797389697528537</x:v>
      </x:c>
      <x:c r="P46" s="32" t="n">
        <x:f>MAX(0,P45-P44*(1-$D$82)-O44*(1-$F$101/4)*(1-$D$83))</x:f>
        <x:v>2.6913858302540508</x:v>
      </x:c>
      <x:c r="Q46" s="32" t="n">
        <x:f>MAX(0,Q45-Q44*(1-$D$82)-P44*(1-$F$101/4)*(1-$D$83))</x:f>
        <x:v>4.350928525387304</x:v>
      </x:c>
      <x:c r="R46" s="32" t="n">
        <x:f>MAX(0,R45-R44*(1-$D$82)-Q44*(1-$F$101/4)*(1-$D$83))</x:f>
        <x:v>6.487018399589827</x:v>
      </x:c>
      <x:c r="S46" s="32" t="n">
        <x:f>MAX(0,S45-S44*(1-$D$82)-R44*(1-$F$101/4)*(1-$D$83))</x:f>
        <x:v>8.991357459533479</x:v>
      </x:c>
      <x:c r="T46" s="32" t="n">
        <x:f>MAX(0,T45-T44*(1-$D$82)-S44*(1-$F$101/4)*(1-$D$83))</x:f>
        <x:v>11.843405847640478</x:v>
      </x:c>
      <x:c r="U46" s="32" t="n">
        <x:f>MAX(0,U45-U44*(1-$D$82)-T44*(1-$F$101/4)*(1-$D$83))</x:f>
        <x:v>15.145582259925867</x:v>
      </x:c>
      <x:c r="V46" s="32" t="n">
        <x:f>MAX(0,V45-V44*(1-$D$82)-U44*(1-$F$101/4)*(1-$D$83))</x:f>
        <x:v>18.71613477602698</x:v>
      </x:c>
      <x:c r="W46" s="32" t="n">
        <x:f>MAX(0,W45-W44*(1-$D$82)-V44*(1-$F$101/4)*(1-$D$83))</x:f>
        <x:v>22.553662754386576</x:v>
      </x:c>
      <x:c r="X46" s="32" t="n">
        <x:f>MAX(0,X45-X44*(1-$D$82)-W44*(1-$F$101/4)*(1-$D$83))</x:f>
        <x:v>26.681002813070776</x:v>
      </x:c>
    </x:row>
    <x:row r="47" ht="21" customHeight="1">
      <x:c r="A47" s="1"/>
      <x:c r="B47" s="1"/>
      <x:c r="C47" s="1" t="str">
        <x:v>System patient starts</x:v>
      </x:c>
      <x:c r="D47" s="32" t="n">
        <x:f>D46*$G$101*$H$101/4*D7/3</x:f>
        <x:v>0</x:v>
      </x:c>
      <x:c r="E47" s="32" t="n">
        <x:f>E46*$G$101*$H$101/4*E7/3</x:f>
        <x:v>0</x:v>
      </x:c>
      <x:c r="F47" s="32" t="n">
        <x:f>F46*$G$101*$H$101/4*F7/3</x:f>
        <x:v>0</x:v>
      </x:c>
      <x:c r="G47" s="32" t="n">
        <x:f>G46*$G$101*$H$101/4*G7/3</x:f>
        <x:v>0</x:v>
      </x:c>
      <x:c r="H47" s="32" t="n">
        <x:f>H46*$G$101*$H$101/4*H7/3</x:f>
        <x:v>0</x:v>
      </x:c>
      <x:c r="I47" s="32" t="n">
        <x:f>I46*$G$101*$H$101/4*I7/3</x:f>
        <x:v>0</x:v>
      </x:c>
      <x:c r="J47" s="32" t="n">
        <x:f>J46*$G$101*$H$101/4*J7/3</x:f>
        <x:v>0</x:v>
      </x:c>
      <x:c r="K47" s="32" t="n">
        <x:f>K46*$G$101*$H$101/4*K7/3</x:f>
        <x:v>2.333333333333333</x:v>
      </x:c>
      <x:c r="L47" s="32" t="n">
        <x:f>L46*$G$101*$H$101/4*L7/3</x:f>
        <x:v>21.096666666666664</x:v>
      </x:c>
      <x:c r="M47" s="32" t="n">
        <x:f>M46*$G$101*$H$101/4*M7/3</x:f>
        <x:v>62.09816666666666</x:v>
      </x:c>
      <x:c r="N47" s="32" t="n">
        <x:f>N46*$G$101*$H$101/4*N7/3</x:f>
        <x:v>134.89384546536795</x:v>
      </x:c>
      <x:c r="O47" s="32" t="n">
        <x:f>O46*$G$101*$H$101/4*O7/3</x:f>
        <x:v>236.96084546292806</x:v>
      </x:c>
      <x:c r="P47" s="32" t="n">
        <x:f>P46*$G$101*$H$101/4*P7/3</x:f>
        <x:v>403.70787453810766</x:v>
      </x:c>
      <x:c r="Q47" s="32" t="n">
        <x:f>Q46*$G$101*$H$101/4*Q7/3</x:f>
        <x:v>652.6392788080957</x:v>
      </x:c>
      <x:c r="R47" s="32" t="n">
        <x:f>R46*$G$101*$H$101/4*R7/3</x:f>
        <x:v>973.0527599384741</x:v>
      </x:c>
      <x:c r="S47" s="32" t="n">
        <x:f>S46*$G$101*$H$101/4*S7/3</x:f>
        <x:v>1348.7036189300218</x:v>
      </x:c>
      <x:c r="T47" s="32" t="n">
        <x:f>T46*$G$101*$H$101/4*T7/3</x:f>
        <x:v>1776.5108771460718</x:v>
      </x:c>
      <x:c r="U47" s="32" t="n">
        <x:f>U46*$G$101*$H$101/4*U7/3</x:f>
        <x:v>2271.8373389888798</x:v>
      </x:c>
      <x:c r="V47" s="32" t="n">
        <x:f>V46*$G$101*$H$101/4*V7/3</x:f>
        <x:v>2807.420216404047</x:v>
      </x:c>
      <x:c r="W47" s="32" t="n">
        <x:f>W46*$G$101*$H$101/4*W7/3</x:f>
        <x:v>3383.0494131579867</x:v>
      </x:c>
      <x:c r="X47" s="32" t="n">
        <x:f>X46*$G$101*$H$101/4*X7/3</x:f>
        <x:v>4002.1504219606163</x:v>
      </x:c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</x:row>
    <x:row r="49" ht="21" customHeight="1">
      <x:c r="A49" s="1"/>
      <x:c r="B49" s="1"/>
      <x:c r="C49" s="1" t="str">
        <x:v>Reference-account conversions</x:v>
      </x:c>
      <x:c r="D49" s="32" t="n">
        <x:f>IF(1=$D$75,$D$77*$D$78,0)</x:f>
        <x:v>0</x:v>
      </x:c>
      <x:c r="E49" s="32" t="n">
        <x:f>IF(2=$D$75,$D$77*$D$78,0)</x:f>
        <x:v>0</x:v>
      </x:c>
      <x:c r="F49" s="32" t="n">
        <x:f>IF(3=$D$75,$D$77*$D$78,0)</x:f>
        <x:v>0</x:v>
      </x:c>
      <x:c r="G49" s="32" t="n">
        <x:f>IF(4=$D$75,$D$77*$D$78,0)</x:f>
        <x:v>0</x:v>
      </x:c>
      <x:c r="H49" s="32" t="n">
        <x:f>IF(5=$D$75,$D$77*$D$78,0)</x:f>
        <x:v>7.5</x:v>
      </x:c>
      <x:c r="I49" s="32" t="n">
        <x:f>IF(6=$D$75,$D$77*$D$78,0)</x:f>
        <x:v>0</x:v>
      </x:c>
      <x:c r="J49" s="32" t="n">
        <x:f>IF(7=$D$75,$D$77*$D$78,0)</x:f>
        <x:v>0</x:v>
      </x:c>
      <x:c r="K49" s="32" t="n">
        <x:f>IF(8=$D$75,$D$77*$D$78,0)</x:f>
        <x:v>0</x:v>
      </x:c>
      <x:c r="L49" s="32" t="n">
        <x:f>IF(9=$D$75,$D$77*$D$78,0)</x:f>
        <x:v>0</x:v>
      </x:c>
      <x:c r="M49" s="32" t="n">
        <x:f>IF(10=$D$75,$D$77*$D$78,0)</x:f>
        <x:v>0</x:v>
      </x:c>
      <x:c r="N49" s="32" t="n">
        <x:f>IF(11=$D$75,$D$77*$D$78,0)</x:f>
        <x:v>0</x:v>
      </x:c>
      <x:c r="O49" s="32" t="n">
        <x:f>IF(12=$D$75,$D$77*$D$78,0)</x:f>
        <x:v>0</x:v>
      </x:c>
      <x:c r="P49" s="32" t="n">
        <x:f>IF(13=$D$75,$D$77*$D$78,0)</x:f>
        <x:v>0</x:v>
      </x:c>
      <x:c r="Q49" s="32" t="n">
        <x:f>IF(14=$D$75,$D$77*$D$78,0)</x:f>
        <x:v>0</x:v>
      </x:c>
      <x:c r="R49" s="32" t="n">
        <x:f>IF(15=$D$75,$D$77*$D$78,0)</x:f>
        <x:v>0</x:v>
      </x:c>
      <x:c r="S49" s="32" t="n">
        <x:f>IF(16=$D$75,$D$77*$D$78,0)</x:f>
        <x:v>0</x:v>
      </x:c>
      <x:c r="T49" s="32" t="n">
        <x:f>IF(17=$D$75,$D$77*$D$78,0)</x:f>
        <x:v>0</x:v>
      </x:c>
      <x:c r="U49" s="32" t="n">
        <x:f>IF(18=$D$75,$D$77*$D$78,0)</x:f>
        <x:v>0</x:v>
      </x:c>
      <x:c r="V49" s="32" t="n">
        <x:f>IF(19=$D$75,$D$77*$D$78,0)</x:f>
        <x:v>0</x:v>
      </x:c>
      <x:c r="W49" s="32" t="n">
        <x:f>IF(20=$D$75,$D$77*$D$78,0)</x:f>
        <x:v>0</x:v>
      </x:c>
      <x:c r="X49" s="32" t="n">
        <x:f>IF(21=$D$75,$D$77*$D$78,0)</x:f>
        <x:v>0</x:v>
      </x:c>
    </x:row>
    <x:row r="50" ht="21" customHeight="1">
      <x:c r="A50" s="1"/>
      <x:c r="B50" s="1"/>
      <x:c r="C50" s="1" t="str">
        <x:v>Reference paid accounts</x:v>
      </x:c>
      <x:c r="D50" s="32" t="n">
        <x:f>0*(1-$F$100/4)+D49</x:f>
        <x:v>0</x:v>
      </x:c>
      <x:c r="E50" s="32" t="n">
        <x:f>D50*(1-$F$100/4)+E49</x:f>
        <x:v>0</x:v>
      </x:c>
      <x:c r="F50" s="32" t="n">
        <x:f>E50*(1-$F$100/4)+F49</x:f>
        <x:v>0</x:v>
      </x:c>
      <x:c r="G50" s="32" t="n">
        <x:f>F50*(1-$F$100/4)+G49</x:f>
        <x:v>0</x:v>
      </x:c>
      <x:c r="H50" s="32" t="n">
        <x:f>G50*(1-$F$100/4)+H49</x:f>
        <x:v>7.5</x:v>
      </x:c>
      <x:c r="I50" s="32" t="n">
        <x:f>H50*(1-$F$100/4)+I49</x:f>
        <x:v>7.3125</x:v>
      </x:c>
      <x:c r="J50" s="32" t="n">
        <x:f>I50*(1-$F$100/4)+J49</x:f>
        <x:v>7.1296875</x:v>
      </x:c>
      <x:c r="K50" s="32" t="n">
        <x:f>J50*(1-$F$100/4)+K49</x:f>
        <x:v>6.9514453125</x:v>
      </x:c>
      <x:c r="L50" s="32" t="n">
        <x:f>K50*(1-$F$100/4)+L49</x:f>
        <x:v>6.777659179687499</x:v>
      </x:c>
      <x:c r="M50" s="32" t="n">
        <x:f>L50*(1-$F$100/4)+M49</x:f>
        <x:v>6.608217700195312</x:v>
      </x:c>
      <x:c r="N50" s="32" t="n">
        <x:f>M50*(1-$F$100/4)+N49</x:f>
        <x:v>6.443012257690429</x:v>
      </x:c>
      <x:c r="O50" s="32" t="n">
        <x:f>N50*(1-$F$100/4)+O49</x:f>
        <x:v>6.281936951248168</x:v>
      </x:c>
      <x:c r="P50" s="32" t="n">
        <x:f>O50*(1-$F$100/4)+P49</x:f>
        <x:v>6.124888527466964</x:v>
      </x:c>
      <x:c r="Q50" s="32" t="n">
        <x:f>P50*(1-$F$100/4)+Q49</x:f>
        <x:v>5.9717663142802895</x:v>
      </x:c>
      <x:c r="R50" s="32" t="n">
        <x:f>Q50*(1-$F$100/4)+R49</x:f>
        <x:v>5.822472156423282</x:v>
      </x:c>
      <x:c r="S50" s="32" t="n">
        <x:f>R50*(1-$F$100/4)+S49</x:f>
        <x:v>5.676910352512699</x:v>
      </x:c>
      <x:c r="T50" s="32" t="n">
        <x:f>S50*(1-$F$100/4)+T49</x:f>
        <x:v>5.534987593699881</x:v>
      </x:c>
      <x:c r="U50" s="32" t="n">
        <x:f>T50*(1-$F$100/4)+U49</x:f>
        <x:v>5.396612903857384</x:v>
      </x:c>
      <x:c r="V50" s="32" t="n">
        <x:f>U50*(1-$F$100/4)+V49</x:f>
        <x:v>5.261697581260949</x:v>
      </x:c>
      <x:c r="W50" s="32" t="n">
        <x:f>V50*(1-$F$100/4)+W49</x:f>
        <x:v>5.130155141729426</x:v>
      </x:c>
      <x:c r="X50" s="32" t="n">
        <x:f>W50*(1-$F$100/4)+X49</x:f>
        <x:v>5.00190126318619</x:v>
      </x:c>
    </x:row>
    <x:row r="51" ht="21" customHeight="1">
      <x:c r="A51" s="1"/>
      <x:c r="B51" s="1"/>
      <x:c r="C51" s="1" t="str">
        <x:v>Reference productive accounts</x:v>
      </x:c>
      <x:c r="D51" s="32" t="n">
        <x:f>MAX(0,D50-D49*(1-$D$79))</x:f>
        <x:v>0</x:v>
      </x:c>
      <x:c r="E51" s="32" t="n">
        <x:f>MAX(0,E50-E49*(1-$D$79))</x:f>
        <x:v>0</x:v>
      </x:c>
      <x:c r="F51" s="32" t="n">
        <x:f>MAX(0,F50-F49*(1-$D$79))</x:f>
        <x:v>0</x:v>
      </x:c>
      <x:c r="G51" s="32" t="n">
        <x:f>MAX(0,G50-G49*(1-$D$79))</x:f>
        <x:v>0</x:v>
      </x:c>
      <x:c r="H51" s="32" t="n">
        <x:f>MAX(0,H50-H49*(1-$D$79))</x:f>
        <x:v>4.5</x:v>
      </x:c>
      <x:c r="I51" s="32" t="n">
        <x:f>MAX(0,I50-I49*(1-$D$79))</x:f>
        <x:v>7.3125</x:v>
      </x:c>
      <x:c r="J51" s="32" t="n">
        <x:f>MAX(0,J50-J49*(1-$D$79))</x:f>
        <x:v>7.1296875</x:v>
      </x:c>
      <x:c r="K51" s="32" t="n">
        <x:f>MAX(0,K50-K49*(1-$D$79))</x:f>
        <x:v>6.9514453125</x:v>
      </x:c>
      <x:c r="L51" s="32" t="n">
        <x:f>MAX(0,L50-L49*(1-$D$79))</x:f>
        <x:v>6.777659179687499</x:v>
      </x:c>
      <x:c r="M51" s="32" t="n">
        <x:f>MAX(0,M50-M49*(1-$D$79))</x:f>
        <x:v>6.608217700195312</x:v>
      </x:c>
      <x:c r="N51" s="32" t="n">
        <x:f>MAX(0,N50-N49*(1-$D$79))</x:f>
        <x:v>6.443012257690429</x:v>
      </x:c>
      <x:c r="O51" s="32" t="n">
        <x:f>MAX(0,O50-O49*(1-$D$79))</x:f>
        <x:v>6.281936951248168</x:v>
      </x:c>
      <x:c r="P51" s="32" t="n">
        <x:f>MAX(0,P50-P49*(1-$D$79))</x:f>
        <x:v>6.124888527466964</x:v>
      </x:c>
      <x:c r="Q51" s="32" t="n">
        <x:f>MAX(0,Q50-Q49*(1-$D$79))</x:f>
        <x:v>5.9717663142802895</x:v>
      </x:c>
      <x:c r="R51" s="32" t="n">
        <x:f>MAX(0,R50-R49*(1-$D$79))</x:f>
        <x:v>5.822472156423282</x:v>
      </x:c>
      <x:c r="S51" s="32" t="n">
        <x:f>MAX(0,S50-S49*(1-$D$79))</x:f>
        <x:v>5.676910352512699</x:v>
      </x:c>
      <x:c r="T51" s="32" t="n">
        <x:f>MAX(0,T50-T49*(1-$D$79))</x:f>
        <x:v>5.534987593699881</x:v>
      </x:c>
      <x:c r="U51" s="32" t="n">
        <x:f>MAX(0,U50-U49*(1-$D$79))</x:f>
        <x:v>5.396612903857384</x:v>
      </x:c>
      <x:c r="V51" s="32" t="n">
        <x:f>MAX(0,V50-V49*(1-$D$79))</x:f>
        <x:v>5.261697581260949</x:v>
      </x:c>
      <x:c r="W51" s="32" t="n">
        <x:f>MAX(0,W50-W49*(1-$D$79))</x:f>
        <x:v>5.130155141729426</x:v>
      </x:c>
      <x:c r="X51" s="32" t="n">
        <x:f>MAX(0,X50-X49*(1-$D$79))</x:f>
        <x:v>5.00190126318619</x:v>
      </x:c>
    </x:row>
    <x:row r="52" ht="21" customHeight="1">
      <x:c r="A52" s="1"/>
      <x:c r="B52" s="1"/>
      <x:c r="C52" s="1" t="str">
        <x:v>Reference patient starts</x:v>
      </x:c>
      <x:c r="D52" s="32" t="n">
        <x:f>D51*$D$80*$D$81/4*D7/3</x:f>
        <x:v>0</x:v>
      </x:c>
      <x:c r="E52" s="32" t="n">
        <x:f>E51*$D$80*$D$81/4*E7/3</x:f>
        <x:v>0</x:v>
      </x:c>
      <x:c r="F52" s="32" t="n">
        <x:f>F51*$D$80*$D$81/4*F7/3</x:f>
        <x:v>0</x:v>
      </x:c>
      <x:c r="G52" s="32" t="n">
        <x:f>G51*$D$80*$D$81/4*G7/3</x:f>
        <x:v>0</x:v>
      </x:c>
      <x:c r="H52" s="32" t="n">
        <x:f>H51*$D$80*$D$81/4*H7/3</x:f>
        <x:v>94.5</x:v>
      </x:c>
      <x:c r="I52" s="32" t="n">
        <x:f>I51*$D$80*$D$81/4*I7/3</x:f>
        <x:v>460.6875</x:v>
      </x:c>
      <x:c r="J52" s="32" t="n">
        <x:f>J51*$D$80*$D$81/4*J7/3</x:f>
        <x:v>449.17031249999997</x:v>
      </x:c>
      <x:c r="K52" s="32" t="n">
        <x:f>K51*$D$80*$D$81/4*K7/3</x:f>
        <x:v>437.94105468749996</x:v>
      </x:c>
      <x:c r="L52" s="32" t="n">
        <x:f>L51*$D$80*$D$81/4*L7/3</x:f>
        <x:v>426.99252832031243</x:v>
      </x:c>
      <x:c r="M52" s="32" t="n">
        <x:f>M51*$D$80*$D$81/4*M7/3</x:f>
        <x:v>416.3177151123047</x:v>
      </x:c>
      <x:c r="N52" s="32" t="n">
        <x:f>N51*$D$80*$D$81/4*N7/3</x:f>
        <x:v>405.909772234497</x:v>
      </x:c>
      <x:c r="O52" s="32" t="n">
        <x:f>O51*$D$80*$D$81/4*O7/3</x:f>
        <x:v>395.76202792863455</x:v>
      </x:c>
      <x:c r="P52" s="32" t="n">
        <x:f>P51*$D$80*$D$81/4*P7/3</x:f>
        <x:v>385.8679772304187</x:v>
      </x:c>
      <x:c r="Q52" s="32" t="n">
        <x:f>Q51*$D$80*$D$81/4*Q7/3</x:f>
        <x:v>376.22127779965825</x:v>
      </x:c>
      <x:c r="R52" s="32" t="n">
        <x:f>R51*$D$80*$D$81/4*R7/3</x:f>
        <x:v>366.8157458546668</x:v>
      </x:c>
      <x:c r="S52" s="32" t="n">
        <x:f>S51*$D$80*$D$81/4*S7/3</x:f>
        <x:v>357.64535220830004</x:v>
      </x:c>
      <x:c r="T52" s="32" t="n">
        <x:f>T51*$D$80*$D$81/4*T7/3</x:f>
        <x:v>348.7042184030925</x:v>
      </x:c>
      <x:c r="U52" s="32" t="n">
        <x:f>U51*$D$80*$D$81/4*U7/3</x:f>
        <x:v>339.9866129430152</x:v>
      </x:c>
      <x:c r="V52" s="32" t="n">
        <x:f>V51*$D$80*$D$81/4*V7/3</x:f>
        <x:v>331.48694761943983</x:v>
      </x:c>
      <x:c r="W52" s="32" t="n">
        <x:f>W51*$D$80*$D$81/4*W7/3</x:f>
        <x:v>323.19977392895385</x:v>
      </x:c>
      <x:c r="X52" s="32" t="n">
        <x:f>X51*$D$80*$D$81/4*X7/3</x:f>
        <x:v>315.11977958073</x:v>
      </x:c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21" customHeight="1">
      <x:c r="A54" s="1"/>
      <x:c r="B54" s="1"/>
      <x:c r="C54" s="1" t="str">
        <x:v>Accounts under evaluation</x:v>
      </x:c>
      <x:c r="D54" s="32" t="n">
        <x:f>SUM(INDEX($D$31:$X$31,1,MAX(1,1-$D$99+1)):D31)+SUM(INDEX($D$37:$X$37,1,MAX(1,1-$D$100+1)):D37)+SUM(INDEX($D$43:$X$43,1,MAX(1,1-$D$101+1)):D43)</x:f>
        <x:v>0</x:v>
      </x:c>
      <x:c r="E54" s="32" t="n">
        <x:f>SUM(INDEX($D$31:$X$31,1,MAX(1,2-$D$99+1)):E31)+SUM(INDEX($D$37:$X$37,1,MAX(1,2-$D$100+1)):E37)+SUM(INDEX($D$43:$X$43,1,MAX(1,2-$D$101+1)):E43)</x:f>
        <x:v>0</x:v>
      </x:c>
      <x:c r="F54" s="32" t="n">
        <x:f>SUM(INDEX($D$31:$X$31,1,MAX(1,3-$D$99+1)):F31)+SUM(INDEX($D$37:$X$37,1,MAX(1,3-$D$100+1)):F37)+SUM(INDEX($D$43:$X$43,1,MAX(1,3-$D$101+1)):F43)</x:f>
        <x:v>0</x:v>
      </x:c>
      <x:c r="G54" s="32" t="n">
        <x:f>SUM(INDEX($D$31:$X$31,1,MAX(1,4-$D$99+1)):G31)+SUM(INDEX($D$37:$X$37,1,MAX(1,4-$D$100+1)):G37)+SUM(INDEX($D$43:$X$43,1,MAX(1,4-$D$101+1)):G43)</x:f>
        <x:v>0</x:v>
      </x:c>
      <x:c r="H54" s="32" t="n">
        <x:f>SUM(INDEX($D$31:$X$31,1,MAX(1,5-$D$99+1)):H31)+SUM(INDEX($D$37:$X$37,1,MAX(1,5-$D$100+1)):H37)+SUM(INDEX($D$43:$X$43,1,MAX(1,5-$D$101+1)):H43)</x:f>
        <x:v>2.6666666666666665</x:v>
      </x:c>
      <x:c r="I54" s="32" t="n">
        <x:f>SUM(INDEX($D$31:$X$31,1,MAX(1,6-$D$99+1)):I31)+SUM(INDEX($D$37:$X$37,1,MAX(1,6-$D$100+1)):I37)+SUM(INDEX($D$43:$X$43,1,MAX(1,6-$D$101+1)):I43)</x:f>
        <x:v>12.155555555555555</x:v>
      </x:c>
      <x:c r="J54" s="32" t="n">
        <x:f>SUM(INDEX($D$31:$X$31,1,MAX(1,7-$D$99+1)):J31)+SUM(INDEX($D$37:$X$37,1,MAX(1,7-$D$100+1)):J37)+SUM(INDEX($D$43:$X$43,1,MAX(1,7-$D$101+1)):J43)</x:f>
        <x:v>23.617460317460317</x:v>
      </x:c>
      <x:c r="K54" s="32" t="n">
        <x:f>SUM(INDEX($D$31:$X$31,1,MAX(1,8-$D$99+1)):K31)+SUM(INDEX($D$37:$X$37,1,MAX(1,8-$D$100+1)):K37)+SUM(INDEX($D$43:$X$43,1,MAX(1,8-$D$101+1)):K43)</x:f>
        <x:v>34.99761904761905</x:v>
      </x:c>
      <x:c r="L54" s="32" t="n">
        <x:f>SUM(INDEX($D$31:$X$31,1,MAX(1,9-$D$99+1)):L31)+SUM(INDEX($D$37:$X$37,1,MAX(1,9-$D$100+1)):L37)+SUM(INDEX($D$43:$X$43,1,MAX(1,9-$D$101+1)):L43)</x:f>
        <x:v>53.6991341991342</x:v>
      </x:c>
      <x:c r="M54" s="32" t="n">
        <x:f>SUM(INDEX($D$31:$X$31,1,MAX(1,10-$D$99+1)):M31)+SUM(INDEX($D$37:$X$37,1,MAX(1,10-$D$100+1)):M37)+SUM(INDEX($D$43:$X$43,1,MAX(1,10-$D$101+1)):M43)</x:f>
        <x:v>93.2763907734057</x:v>
      </x:c>
      <x:c r="N54" s="32" t="n">
        <x:f>SUM(INDEX($D$31:$X$31,1,MAX(1,11-$D$99+1)):N31)+SUM(INDEX($D$37:$X$37,1,MAX(1,11-$D$100+1)):N37)+SUM(INDEX($D$43:$X$43,1,MAX(1,11-$D$101+1)):N43)</x:f>
        <x:v>126.0858208955224</x:v>
      </x:c>
      <x:c r="O54" s="32" t="n">
        <x:f>SUM(INDEX($D$31:$X$31,1,MAX(1,12-$D$99+1)):O31)+SUM(INDEX($D$37:$X$37,1,MAX(1,12-$D$100+1)):O37)+SUM(INDEX($D$43:$X$43,1,MAX(1,12-$D$101+1)):O43)</x:f>
        <x:v>154.26041666666669</x:v>
      </x:c>
      <x:c r="P54" s="32" t="n">
        <x:f>SUM(INDEX($D$31:$X$31,1,MAX(1,13-$D$99+1)):P31)+SUM(INDEX($D$37:$X$37,1,MAX(1,13-$D$100+1)):P37)+SUM(INDEX($D$43:$X$43,1,MAX(1,13-$D$101+1)):P43)</x:f>
        <x:v>176.73958333333334</x:v>
      </x:c>
      <x:c r="Q54" s="32" t="n">
        <x:f>SUM(INDEX($D$31:$X$31,1,MAX(1,14-$D$99+1)):Q31)+SUM(INDEX($D$37:$X$37,1,MAX(1,14-$D$100+1)):Q37)+SUM(INDEX($D$43:$X$43,1,MAX(1,14-$D$101+1)):Q43)</x:f>
        <x:v>199</x:v>
      </x:c>
      <x:c r="R54" s="32" t="n">
        <x:f>SUM(INDEX($D$31:$X$31,1,MAX(1,15-$D$99+1)):R31)+SUM(INDEX($D$37:$X$37,1,MAX(1,15-$D$100+1)):R37)+SUM(INDEX($D$43:$X$43,1,MAX(1,15-$D$101+1)):R43)</x:f>
        <x:v>222</x:v>
      </x:c>
      <x:c r="S54" s="32" t="n">
        <x:f>SUM(INDEX($D$31:$X$31,1,MAX(1,16-$D$99+1)):S31)+SUM(INDEX($D$37:$X$37,1,MAX(1,16-$D$100+1)):S37)+SUM(INDEX($D$43:$X$43,1,MAX(1,16-$D$101+1)):S43)</x:f>
        <x:v>243</x:v>
      </x:c>
      <x:c r="T54" s="32" t="n">
        <x:f>SUM(INDEX($D$31:$X$31,1,MAX(1,17-$D$99+1)):T31)+SUM(INDEX($D$37:$X$37,1,MAX(1,17-$D$100+1)):T37)+SUM(INDEX($D$43:$X$43,1,MAX(1,17-$D$101+1)):T43)</x:f>
        <x:v>264</x:v>
      </x:c>
      <x:c r="U54" s="32" t="n">
        <x:f>SUM(INDEX($D$31:$X$31,1,MAX(1,18-$D$99+1)):U31)+SUM(INDEX($D$37:$X$37,1,MAX(1,18-$D$100+1)):U37)+SUM(INDEX($D$43:$X$43,1,MAX(1,18-$D$101+1)):U43)</x:f>
        <x:v>277</x:v>
      </x:c>
      <x:c r="V54" s="32" t="n">
        <x:f>SUM(INDEX($D$31:$X$31,1,MAX(1,19-$D$99+1)):V31)+SUM(INDEX($D$37:$X$37,1,MAX(1,19-$D$100+1)):V37)+SUM(INDEX($D$43:$X$43,1,MAX(1,19-$D$101+1)):V43)</x:f>
        <x:v>282</x:v>
      </x:c>
      <x:c r="W54" s="32" t="n">
        <x:f>SUM(INDEX($D$31:$X$31,1,MAX(1,20-$D$99+1)):W31)+SUM(INDEX($D$37:$X$37,1,MAX(1,20-$D$100+1)):W37)+SUM(INDEX($D$43:$X$43,1,MAX(1,20-$D$101+1)):W43)</x:f>
        <x:v>283</x:v>
      </x:c>
      <x:c r="X54" s="32" t="n">
        <x:f>SUM(INDEX($D$31:$X$31,1,MAX(1,21-$D$99+1)):X31)+SUM(INDEX($D$37:$X$37,1,MAX(1,21-$D$100+1)):X37)+SUM(INDEX($D$43:$X$43,1,MAX(1,21-$D$101+1)):X43)</x:f>
        <x:v>283</x:v>
      </x:c>
    </x:row>
    <x:row r="55" ht="21" customHeight="1">
      <x:c r="A55" s="1"/>
      <x:c r="B55" s="1"/>
      <x:c r="C55" s="1" t="str">
        <x:v>Total new paid accounts</x:v>
      </x:c>
      <x:c r="D55" s="32" t="n">
        <x:f>SUM(D32,D38,D44,D49)</x:f>
        <x:v>0</x:v>
      </x:c>
      <x:c r="E55" s="32" t="n">
        <x:f>SUM(E32,E38,E44,E49)</x:f>
        <x:v>0</x:v>
      </x:c>
      <x:c r="F55" s="32" t="n">
        <x:f>SUM(F32,F38,F44,F49)</x:f>
        <x:v>0</x:v>
      </x:c>
      <x:c r="G55" s="32" t="n">
        <x:f>SUM(G32,G38,G44,G49)</x:f>
        <x:v>0</x:v>
      </x:c>
      <x:c r="H55" s="32" t="n">
        <x:f>SUM(H32,H38,H44,H49)</x:f>
        <x:v>7.5</x:v>
      </x:c>
      <x:c r="I55" s="32" t="n">
        <x:f>SUM(I32,I38,I44,I49)</x:f>
        <x:v>1.133333333333333</x:v>
      </x:c>
      <x:c r="J55" s="32" t="n">
        <x:f>SUM(J32,J38,J44,J49)</x:f>
        <x:v>5.171904761904762</x:v>
      </x:c>
      <x:c r="K55" s="32" t="n">
        <x:f>SUM(K32,K38,K44,K49)</x:f>
        <x:v>10.502658730158732</x:v>
      </x:c>
      <x:c r="L55" s="32" t="n">
        <x:f>SUM(L32,L38,L44,L49)</x:f>
        <x:v>15.817911255411255</x:v>
      </x:c>
      <x:c r="M55" s="32" t="n">
        <x:f>SUM(M32,M38,M44,M49)</x:f>
        <x:v>24.181819474058283</x:v>
      </x:c>
      <x:c r="N55" s="32" t="n">
        <x:f>SUM(N32,N38,N44,N49)</x:f>
        <x:v>41.63614314789688</x:v>
      </x:c>
      <x:c r="O55" s="32" t="n">
        <x:f>SUM(O32,O38,O44,O49)</x:f>
        <x:v>57.9350979477612</x:v>
      </x:c>
      <x:c r="P55" s="32" t="n">
        <x:f>SUM(P32,P38,P44,P49)</x:f>
        <x:v>70.91354166666667</x:v>
      </x:c>
      <x:c r="Q55" s="32" t="n">
        <x:f>SUM(Q32,Q38,Q44,Q49)</x:f>
        <x:v>81.96979166666667</x:v>
      </x:c>
      <x:c r="R55" s="32" t="n">
        <x:f>SUM(R32,R38,R44,R49)</x:f>
        <x:v>91.35</x:v>
      </x:c>
      <x:c r="S55" s="32" t="n">
        <x:f>SUM(S32,S38,S44,S49)</x:f>
        <x:v>102.4</x:v>
      </x:c>
      <x:c r="T55" s="32" t="n">
        <x:f>SUM(T32,T38,T44,T49)</x:f>
        <x:v>112.15</x:v>
      </x:c>
      <x:c r="U55" s="32" t="n">
        <x:f>SUM(U32,U38,U44,U49)</x:f>
        <x:v>122.55000000000001</x:v>
      </x:c>
      <x:c r="V55" s="32" t="n">
        <x:f>SUM(V32,V38,V44,V49)</x:f>
        <x:v>128.05</x:v>
      </x:c>
      <x:c r="W55" s="32" t="n">
        <x:f>SUM(W32,W38,W44,W49)</x:f>
        <x:v>130.5</x:v>
      </x:c>
      <x:c r="X55" s="32" t="n">
        <x:f>SUM(X32,X38,X44,X49)</x:f>
        <x:v>131</x:v>
      </x:c>
    </x:row>
    <x:row r="56" ht="21" customHeight="1">
      <x:c r="A56" s="1"/>
      <x:c r="B56" s="1"/>
      <x:c r="C56" s="1" t="str">
        <x:v>Accounts lost to churn</x:v>
      </x:c>
      <x:c r="D56" s="32" t="n">
        <x:f>0+D55-D11</x:f>
        <x:v>0</x:v>
      </x:c>
      <x:c r="E56" s="32" t="n">
        <x:f>D11+E55-E11</x:f>
        <x:v>0</x:v>
      </x:c>
      <x:c r="F56" s="32" t="n">
        <x:f>E11+F55-F11</x:f>
        <x:v>0</x:v>
      </x:c>
      <x:c r="G56" s="32" t="n">
        <x:f>F11+G55-G11</x:f>
        <x:v>0</x:v>
      </x:c>
      <x:c r="H56" s="32" t="n">
        <x:f>G11+H55-H11</x:f>
        <x:v>0</x:v>
      </x:c>
      <x:c r="I56" s="32" t="n">
        <x:f>H11+I55-I11</x:f>
        <x:v>0.1875</x:v>
      </x:c>
      <x:c r="J56" s="32" t="n">
        <x:f>I11+J55-J11</x:f>
        <x:v>0.21681249999999963</x:v>
      </x:c>
      <x:c r="K56" s="32" t="n">
        <x:f>J11+K55-K11</x:f>
        <x:v>0.36291266369048003</x:v>
      </x:c>
      <x:c r="L56" s="32" t="n">
        <x:f>K11+L55-L11</x:f>
        <x:v>0.6531162566220203</x:v>
      </x:c>
      <x:c r="M56" s="32" t="n">
        <x:f>L11+M55-M11</x:f>
        <x:v>1.0803304420116646</x:v>
      </x:c>
      <x:c r="N56" s="32" t="n">
        <x:f>M11+N55-N11</x:f>
        <x:v>1.7349350995371822</x:v>
      </x:c>
      <x:c r="O56" s="32" t="n">
        <x:f>N11+O55-O11</x:f>
        <x:v>2.8705000801290623</x:v>
      </x:c>
      <x:c r="P56" s="32" t="n">
        <x:f>O11+P55-P11</x:f>
        <x:v>4.416276925927832</x:v>
      </x:c>
      <x:c r="Q56" s="32" t="n">
        <x:f>P11+Q55-Q11</x:f>
        <x:v>6.274691920306168</x:v>
      </x:c>
      <x:c r="R56" s="32" t="n">
        <x:f>Q11+R55-R11</x:f>
        <x:v>8.376968240196106</x:v>
      </x:c>
      <x:c r="S56" s="32" t="n">
        <x:f>R11+S55-S11</x:f>
        <x:v>10.683247568840727</x:v>
      </x:c>
      <x:c r="T56" s="32" t="n">
        <x:f>S11+T55-T11</x:f>
        <x:v>13.225800727170622</x:v>
      </x:c>
      <x:c r="U56" s="32" t="n">
        <x:f>T11+U55-U11</x:f>
        <x:v>15.965620853771952</x:v>
      </x:c>
      <x:c r="V56" s="32" t="n">
        <x:f>U11+V55-V11</x:f>
        <x:v>18.91344530310721</x:v>
      </x:c>
      <x:c r="W56" s="32" t="n">
        <x:f>V11+W55-W11</x:f>
        <x:v>21.92726145312656</x:v>
      </x:c>
      <x:c r="X56" s="32" t="n">
        <x:f>W11+X55-X11</x:f>
        <x:v>24.912862385540166</x:v>
      </x:c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</x:row>
    <x:row r="58" ht="21" customHeight="1">
      <x:c r="A58" s="1"/>
      <x:c r="B58" s="1"/>
      <x:c r="C58" s="1" t="str">
        <x:v>Manufacturing stage</x:v>
      </x:c>
      <x:c r="D58" s="2" t="n">
        <x:f>IF(1&gt;=$D$124,4,IF(1&gt;=$D$123,3,IF(1&gt;=$D$122,2,1)))</x:f>
        <x:v>1</x:v>
      </x:c>
      <x:c r="E58" s="2" t="n">
        <x:f>IF(2&gt;=$D$124,4,IF(2&gt;=$D$123,3,IF(2&gt;=$D$122,2,1)))</x:f>
        <x:v>1</x:v>
      </x:c>
      <x:c r="F58" s="2" t="n">
        <x:f>IF(3&gt;=$D$124,4,IF(3&gt;=$D$123,3,IF(3&gt;=$D$122,2,1)))</x:f>
        <x:v>1</x:v>
      </x:c>
      <x:c r="G58" s="2" t="n">
        <x:f>IF(4&gt;=$D$124,4,IF(4&gt;=$D$123,3,IF(4&gt;=$D$122,2,1)))</x:f>
        <x:v>1</x:v>
      </x:c>
      <x:c r="H58" s="2" t="n">
        <x:f>IF(5&gt;=$D$124,4,IF(5&gt;=$D$123,3,IF(5&gt;=$D$122,2,1)))</x:f>
        <x:v>1</x:v>
      </x:c>
      <x:c r="I58" s="2" t="n">
        <x:f>IF(6&gt;=$D$124,4,IF(6&gt;=$D$123,3,IF(6&gt;=$D$122,2,1)))</x:f>
        <x:v>1</x:v>
      </x:c>
      <x:c r="J58" s="2" t="n">
        <x:f>IF(7&gt;=$D$124,4,IF(7&gt;=$D$123,3,IF(7&gt;=$D$122,2,1)))</x:f>
        <x:v>1</x:v>
      </x:c>
      <x:c r="K58" s="2" t="n">
        <x:f>IF(8&gt;=$D$124,4,IF(8&gt;=$D$123,3,IF(8&gt;=$D$122,2,1)))</x:f>
        <x:v>2</x:v>
      </x:c>
      <x:c r="L58" s="2" t="n">
        <x:f>IF(9&gt;=$D$124,4,IF(9&gt;=$D$123,3,IF(9&gt;=$D$122,2,1)))</x:f>
        <x:v>2</x:v>
      </x:c>
      <x:c r="M58" s="2" t="n">
        <x:f>IF(10&gt;=$D$124,4,IF(10&gt;=$D$123,3,IF(10&gt;=$D$122,2,1)))</x:f>
        <x:v>2</x:v>
      </x:c>
      <x:c r="N58" s="2" t="n">
        <x:f>IF(11&gt;=$D$124,4,IF(11&gt;=$D$123,3,IF(11&gt;=$D$122,2,1)))</x:f>
        <x:v>2</x:v>
      </x:c>
      <x:c r="O58" s="2" t="n">
        <x:f>IF(12&gt;=$D$124,4,IF(12&gt;=$D$123,3,IF(12&gt;=$D$122,2,1)))</x:f>
        <x:v>3</x:v>
      </x:c>
      <x:c r="P58" s="2" t="n">
        <x:f>IF(13&gt;=$D$124,4,IF(13&gt;=$D$123,3,IF(13&gt;=$D$122,2,1)))</x:f>
        <x:v>3</x:v>
      </x:c>
      <x:c r="Q58" s="2" t="n">
        <x:f>IF(14&gt;=$D$124,4,IF(14&gt;=$D$123,3,IF(14&gt;=$D$122,2,1)))</x:f>
        <x:v>3</x:v>
      </x:c>
      <x:c r="R58" s="2" t="n">
        <x:f>IF(15&gt;=$D$124,4,IF(15&gt;=$D$123,3,IF(15&gt;=$D$122,2,1)))</x:f>
        <x:v>3</x:v>
      </x:c>
      <x:c r="S58" s="2" t="n">
        <x:f>IF(16&gt;=$D$124,4,IF(16&gt;=$D$123,3,IF(16&gt;=$D$122,2,1)))</x:f>
        <x:v>4</x:v>
      </x:c>
      <x:c r="T58" s="2" t="n">
        <x:f>IF(17&gt;=$D$124,4,IF(17&gt;=$D$123,3,IF(17&gt;=$D$122,2,1)))</x:f>
        <x:v>4</x:v>
      </x:c>
      <x:c r="U58" s="2" t="n">
        <x:f>IF(18&gt;=$D$124,4,IF(18&gt;=$D$123,3,IF(18&gt;=$D$122,2,1)))</x:f>
        <x:v>4</x:v>
      </x:c>
      <x:c r="V58" s="2" t="n">
        <x:f>IF(19&gt;=$D$124,4,IF(19&gt;=$D$123,3,IF(19&gt;=$D$122,2,1)))</x:f>
        <x:v>4</x:v>
      </x:c>
      <x:c r="W58" s="2" t="n">
        <x:f>IF(20&gt;=$D$124,4,IF(20&gt;=$D$123,3,IF(20&gt;=$D$122,2,1)))</x:f>
        <x:v>4</x:v>
      </x:c>
      <x:c r="X58" s="2" t="n">
        <x:f>IF(21&gt;=$D$124,4,IF(21&gt;=$D$123,3,IF(21&gt;=$D$122,2,1)))</x:f>
        <x:v>4</x:v>
      </x:c>
    </x:row>
    <x:row r="59" ht="21" customHeight="1">
      <x:c r="A59" s="1"/>
      <x:c r="B59" s="1"/>
      <x:c r="C59" s="1" t="str">
        <x:v>Usable production capacity</x:v>
      </x:c>
      <x:c r="D59" s="32" t="n">
        <x:f>INDEX($F$121:$F$124,D58)*D7</x:f>
        <x:v>0</x:v>
      </x:c>
      <x:c r="E59" s="32" t="n">
        <x:f>INDEX($F$121:$F$124,E58)*E7</x:f>
        <x:v>0</x:v>
      </x:c>
      <x:c r="F59" s="32" t="n">
        <x:f>INDEX($F$121:$F$124,F58)*F7</x:f>
        <x:v>0</x:v>
      </x:c>
      <x:c r="G59" s="32" t="n">
        <x:f>INDEX($F$121:$F$124,G58)*G7</x:f>
        <x:v>0</x:v>
      </x:c>
      <x:c r="H59" s="32" t="n">
        <x:f>INDEX($F$121:$F$124,H58)*H7</x:f>
        <x:v>12000</x:v>
      </x:c>
      <x:c r="I59" s="32" t="n">
        <x:f>INDEX($F$121:$F$124,I58)*I7</x:f>
        <x:v>36000</x:v>
      </x:c>
      <x:c r="J59" s="32" t="n">
        <x:f>INDEX($F$121:$F$124,J58)*J7</x:f>
        <x:v>36000</x:v>
      </x:c>
      <x:c r="K59" s="32" t="n">
        <x:f>INDEX($F$121:$F$124,K58)*K7</x:f>
        <x:v>270000</x:v>
      </x:c>
      <x:c r="L59" s="32" t="n">
        <x:f>INDEX($F$121:$F$124,L58)*L7</x:f>
        <x:v>270000</x:v>
      </x:c>
      <x:c r="M59" s="32" t="n">
        <x:f>INDEX($F$121:$F$124,M58)*M7</x:f>
        <x:v>270000</x:v>
      </x:c>
      <x:c r="N59" s="32" t="n">
        <x:f>INDEX($F$121:$F$124,N58)*N7</x:f>
        <x:v>270000</x:v>
      </x:c>
      <x:c r="O59" s="32" t="n">
        <x:f>INDEX($F$121:$F$124,O58)*O7</x:f>
        <x:v>780000</x:v>
      </x:c>
      <x:c r="P59" s="32" t="n">
        <x:f>INDEX($F$121:$F$124,P58)*P7</x:f>
        <x:v>780000</x:v>
      </x:c>
      <x:c r="Q59" s="32" t="n">
        <x:f>INDEX($F$121:$F$124,Q58)*Q7</x:f>
        <x:v>780000</x:v>
      </x:c>
      <x:c r="R59" s="32" t="n">
        <x:f>INDEX($F$121:$F$124,R58)*R7</x:f>
        <x:v>780000</x:v>
      </x:c>
      <x:c r="S59" s="32" t="n">
        <x:f>INDEX($F$121:$F$124,S58)*S7</x:f>
        <x:v>1950000</x:v>
      </x:c>
      <x:c r="T59" s="32" t="n">
        <x:f>INDEX($F$121:$F$124,T58)*T7</x:f>
        <x:v>1950000</x:v>
      </x:c>
      <x:c r="U59" s="32" t="n">
        <x:f>INDEX($F$121:$F$124,U58)*U7</x:f>
        <x:v>1950000</x:v>
      </x:c>
      <x:c r="V59" s="32" t="n">
        <x:f>INDEX($F$121:$F$124,V58)*V7</x:f>
        <x:v>1950000</x:v>
      </x:c>
      <x:c r="W59" s="32" t="n">
        <x:f>INDEX($F$121:$F$124,W58)*W7</x:f>
        <x:v>1950000</x:v>
      </x:c>
      <x:c r="X59" s="32" t="n">
        <x:f>INDEX($F$121:$F$124,X58)*X7</x:f>
        <x:v>1950000</x:v>
      </x:c>
    </x:row>
    <x:row r="60" ht="21" customHeight="1">
      <x:c r="A60" s="1"/>
      <x:c r="B60" s="1"/>
      <x:c r="C60" s="1" t="str">
        <x:v>Evaluation patches</x:v>
      </x:c>
      <x:c r="D60" s="32" t="n">
        <x:f>D54*$D$95*D7/3</x:f>
        <x:v>0</x:v>
      </x:c>
      <x:c r="E60" s="32" t="n">
        <x:f>E54*$D$95*E7/3</x:f>
        <x:v>0</x:v>
      </x:c>
      <x:c r="F60" s="32" t="n">
        <x:f>F54*$D$95*F7/3</x:f>
        <x:v>0</x:v>
      </x:c>
      <x:c r="G60" s="32" t="n">
        <x:f>G54*$D$95*G7/3</x:f>
        <x:v>0</x:v>
      </x:c>
      <x:c r="H60" s="32" t="n">
        <x:f>H54*$D$95*H7/3</x:f>
        <x:v>26.666666666666668</x:v>
      </x:c>
      <x:c r="I60" s="32" t="n">
        <x:f>I54*$D$95*I7/3</x:f>
        <x:v>364.6666666666667</x:v>
      </x:c>
      <x:c r="J60" s="32" t="n">
        <x:f>J54*$D$95*J7/3</x:f>
        <x:v>708.5238095238095</x:v>
      </x:c>
      <x:c r="K60" s="32" t="n">
        <x:f>K54*$D$95*K7/3</x:f>
        <x:v>1049.9285714285713</x:v>
      </x:c>
      <x:c r="L60" s="32" t="n">
        <x:f>L54*$D$95*L7/3</x:f>
        <x:v>1610.9740259740258</x:v>
      </x:c>
      <x:c r="M60" s="32" t="n">
        <x:f>M54*$D$95*M7/3</x:f>
        <x:v>2798.2917232021705</x:v>
      </x:c>
      <x:c r="N60" s="32" t="n">
        <x:f>N54*$D$95*N7/3</x:f>
        <x:v>3782.5746268656717</x:v>
      </x:c>
      <x:c r="O60" s="32" t="n">
        <x:f>O54*$D$95*O7/3</x:f>
        <x:v>4627.812500000001</x:v>
      </x:c>
      <x:c r="P60" s="32" t="n">
        <x:f>P54*$D$95*P7/3</x:f>
        <x:v>5302.1875</x:v>
      </x:c>
      <x:c r="Q60" s="32" t="n">
        <x:f>Q54*$D$95*Q7/3</x:f>
        <x:v>5970</x:v>
      </x:c>
      <x:c r="R60" s="32" t="n">
        <x:f>R54*$D$95*R7/3</x:f>
        <x:v>6660</x:v>
      </x:c>
      <x:c r="S60" s="32" t="n">
        <x:f>S54*$D$95*S7/3</x:f>
        <x:v>7290</x:v>
      </x:c>
      <x:c r="T60" s="32" t="n">
        <x:f>T54*$D$95*T7/3</x:f>
        <x:v>7920</x:v>
      </x:c>
      <x:c r="U60" s="32" t="n">
        <x:f>U54*$D$95*U7/3</x:f>
        <x:v>8310</x:v>
      </x:c>
      <x:c r="V60" s="32" t="n">
        <x:f>V54*$D$95*V7/3</x:f>
        <x:v>8460</x:v>
      </x:c>
      <x:c r="W60" s="32" t="n">
        <x:f>W54*$D$95*W7/3</x:f>
        <x:v>8490</x:v>
      </x:c>
      <x:c r="X60" s="32" t="n">
        <x:f>X54*$D$95*X7/3</x:f>
        <x:v>8490</x:v>
      </x:c>
    </x:row>
    <x:row r="61" ht="21" customHeight="1">
      <x:c r="A61" s="1"/>
      <x:c r="B61" s="1"/>
      <x:c r="C61" s="1" t="str">
        <x:v>Commercial patch demand</x:v>
      </x:c>
      <x:c r="D61" s="32" t="n">
        <x:f>D13*$D$89</x:f>
        <x:v>0</x:v>
      </x:c>
      <x:c r="E61" s="32" t="n">
        <x:f>E13*$D$89</x:f>
        <x:v>0</x:v>
      </x:c>
      <x:c r="F61" s="32" t="n">
        <x:f>F13*$D$89</x:f>
        <x:v>0</x:v>
      </x:c>
      <x:c r="G61" s="32" t="n">
        <x:f>G13*$D$89</x:f>
        <x:v>0</x:v>
      </x:c>
      <x:c r="H61" s="32" t="n">
        <x:f>H13*$D$89</x:f>
        <x:v>945</x:v>
      </x:c>
      <x:c r="I61" s="32" t="n">
        <x:f>I13*$D$89</x:f>
        <x:v>12604.083333333332</x:v>
      </x:c>
      <x:c r="J61" s="32" t="n">
        <x:f>J13*$D$89</x:f>
        <x:v>22089.856249999997</x:v>
      </x:c>
      <x:c r="K61" s="32" t="n">
        <x:f>K13*$D$89</x:f>
        <x:v>30997.64434375</x:v>
      </x:c>
      <x:c r="L61" s="32" t="n">
        <x:f>L13*$D$89</x:f>
        <x:v>48585.82658530777</x:v>
      </x:c>
      <x:c r="M61" s="32" t="n">
        <x:f>M13*$D$89</x:f>
        <x:v>77488.32171485302</x:v>
      </x:c>
      <x:c r="N61" s="32" t="n">
        <x:f>N13*$D$89</x:f>
        <x:v>124357.25670803108</x:v>
      </x:c>
      <x:c r="O61" s="32" t="n">
        <x:f>O13*$D$89</x:f>
        <x:v>196296.53701272962</x:v>
      </x:c>
      <x:c r="P61" s="32" t="n">
        <x:f>P13*$D$89</x:f>
        <x:v>296083.87136334693</x:v>
      </x:c>
      <x:c r="Q61" s="32" t="n">
        <x:f>Q13*$D$89</x:f>
        <x:v>421128.32020237047</x:v>
      </x:c>
      <x:c r="R61" s="32" t="n">
        <x:f>R13*$D$89</x:f>
        <x:v>566415.7603855515</x:v>
      </x:c>
      <x:c r="S61" s="32" t="n">
        <x:f>S13*$D$89</x:f>
        <x:v>729002.4854059159</x:v>
      </x:c>
      <x:c r="T61" s="32" t="n">
        <x:f>T13*$D$89</x:f>
        <x:v>907484.677141007</x:v>
      </x:c>
      <x:c r="U61" s="32" t="n">
        <x:f>U13*$D$89</x:f>
        <x:v>1101890.2016879376</x:v>
      </x:c>
      <x:c r="V61" s="32" t="n">
        <x:f>V13*$D$89</x:f>
        <x:v>1309685.7120563567</x:v>
      </x:c>
      <x:c r="W61" s="32" t="n">
        <x:f>W13*$D$89</x:f>
        <x:v>1525035.454767583</x:v>
      </x:c>
      <x:c r="X61" s="32" t="n">
        <x:f>X13*$D$89</x:f>
        <x:v>1741908.3630158158</x:v>
      </x:c>
    </x:row>
    <x:row r="62" ht="21" customHeight="1">
      <x:c r="A62" s="1"/>
      <x:c r="B62" s="1"/>
      <x:c r="C62" s="1" t="str">
        <x:v>Unfilled patch demand</x:v>
      </x:c>
      <x:c r="D62" s="32" t="n">
        <x:f>MAX(0,D61-D14)</x:f>
        <x:v>0</x:v>
      </x:c>
      <x:c r="E62" s="32" t="n">
        <x:f>MAX(0,E61-E14)</x:f>
        <x:v>0</x:v>
      </x:c>
      <x:c r="F62" s="32" t="n">
        <x:f>MAX(0,F61-F14)</x:f>
        <x:v>0</x:v>
      </x:c>
      <x:c r="G62" s="32" t="n">
        <x:f>MAX(0,G61-G14)</x:f>
        <x:v>0</x:v>
      </x:c>
      <x:c r="H62" s="32" t="n">
        <x:f>MAX(0,H61-H14)</x:f>
        <x:v>0</x:v>
      </x:c>
      <x:c r="I62" s="32" t="n">
        <x:f>MAX(0,I61-I14)</x:f>
        <x:v>0</x:v>
      </x:c>
      <x:c r="J62" s="32" t="n">
        <x:f>MAX(0,J61-J14)</x:f>
        <x:v>0</x:v>
      </x:c>
      <x:c r="K62" s="32" t="n">
        <x:f>MAX(0,K61-K14)</x:f>
        <x:v>0</x:v>
      </x:c>
      <x:c r="L62" s="32" t="n">
        <x:f>MAX(0,L61-L14)</x:f>
        <x:v>0</x:v>
      </x:c>
      <x:c r="M62" s="32" t="n">
        <x:f>MAX(0,M61-M14)</x:f>
        <x:v>0</x:v>
      </x:c>
      <x:c r="N62" s="32" t="n">
        <x:f>MAX(0,N61-N14)</x:f>
        <x:v>0</x:v>
      </x:c>
      <x:c r="O62" s="32" t="n">
        <x:f>MAX(0,O61-O14)</x:f>
        <x:v>0</x:v>
      </x:c>
      <x:c r="P62" s="32" t="n">
        <x:f>MAX(0,P61-P14)</x:f>
        <x:v>0</x:v>
      </x:c>
      <x:c r="Q62" s="32" t="n">
        <x:f>MAX(0,Q61-Q14)</x:f>
        <x:v>0</x:v>
      </x:c>
      <x:c r="R62" s="32" t="n">
        <x:f>MAX(0,R61-R14)</x:f>
        <x:v>0</x:v>
      </x:c>
      <x:c r="S62" s="32" t="n">
        <x:f>MAX(0,S61-S14)</x:f>
        <x:v>0</x:v>
      </x:c>
      <x:c r="T62" s="32" t="n">
        <x:f>MAX(0,T61-T14)</x:f>
        <x:v>0</x:v>
      </x:c>
      <x:c r="U62" s="32" t="n">
        <x:f>MAX(0,U61-U14)</x:f>
        <x:v>0</x:v>
      </x:c>
      <x:c r="V62" s="32" t="n">
        <x:f>MAX(0,V61-V14)</x:f>
        <x:v>0</x:v>
      </x:c>
      <x:c r="W62" s="32" t="n">
        <x:f>MAX(0,W61-W14)</x:f>
        <x:v>0</x:v>
      </x:c>
      <x:c r="X62" s="32" t="n">
        <x:f>MAX(0,X61-X14)</x:f>
        <x:v>0</x:v>
      </x:c>
    </x:row>
    <x:row r="63" ht="21" customHeight="1">
      <x:c r="A63" s="1"/>
      <x:c r="B63" s="1"/>
      <x:c r="C63" s="1" t="str">
        <x:v>Manufacturing expense</x:v>
      </x:c>
      <x:c r="D63" s="2" t="n">
        <x:f>-D14*D20/1000</x:f>
        <x:v>0</x:v>
      </x:c>
      <x:c r="E63" s="2" t="n">
        <x:f>-E14*E20/1000</x:f>
        <x:v>0</x:v>
      </x:c>
      <x:c r="F63" s="2" t="n">
        <x:f>-F14*F20/1000</x:f>
        <x:v>0</x:v>
      </x:c>
      <x:c r="G63" s="2" t="n">
        <x:f>-G14*G20/1000</x:f>
        <x:v>0</x:v>
      </x:c>
      <x:c r="H63" s="2" t="n">
        <x:f>-H14*H20/1000</x:f>
        <x:v>-18.9</x:v>
      </x:c>
      <x:c r="I63" s="2" t="n">
        <x:f>-I14*I20/1000</x:f>
        <x:v>-252.08166666666662</x:v>
      </x:c>
      <x:c r="J63" s="2" t="n">
        <x:f>-J14*J20/1000</x:f>
        <x:v>-441.79712499999994</x:v>
      </x:c>
      <x:c r="K63" s="2" t="n">
        <x:f>-K14*K20/1000</x:f>
        <x:v>-340.97408778125003</x:v>
      </x:c>
      <x:c r="L63" s="2" t="n">
        <x:f>-L14*L20/1000</x:f>
        <x:v>-534.4440924383855</x:v>
      </x:c>
      <x:c r="M63" s="2" t="n">
        <x:f>-M14*M20/1000</x:f>
        <x:v>-852.3715388633832</x:v>
      </x:c>
      <x:c r="N63" s="2" t="n">
        <x:f>-N14*N20/1000</x:f>
        <x:v>-1367.9298237883418</x:v>
      </x:c>
      <x:c r="O63" s="2" t="n">
        <x:f>-O14*O20/1000</x:f>
        <x:v>-1374.0757590891074</x:v>
      </x:c>
      <x:c r="P63" s="2" t="n">
        <x:f>-P14*P20/1000</x:f>
        <x:v>-2072.5870995434284</x:v>
      </x:c>
      <x:c r="Q63" s="2" t="n">
        <x:f>-Q14*Q20/1000</x:f>
        <x:v>-2947.898241416593</x:v>
      </x:c>
      <x:c r="R63" s="2" t="n">
        <x:f>-R14*R20/1000</x:f>
        <x:v>-3964.9103226988605</x:v>
      </x:c>
      <x:c r="S63" s="2" t="n">
        <x:f>-S14*S20/1000</x:f>
        <x:v>-4009.513669732537</x:v>
      </x:c>
      <x:c r="T63" s="2" t="n">
        <x:f>-T14*T20/1000</x:f>
        <x:v>-4991.165724275539</x:v>
      </x:c>
      <x:c r="U63" s="2" t="n">
        <x:f>-U14*U20/1000</x:f>
        <x:v>-6060.396109283657</x:v>
      </x:c>
      <x:c r="V63" s="2" t="n">
        <x:f>-V14*V20/1000</x:f>
        <x:v>-7203.271416309962</x:v>
      </x:c>
      <x:c r="W63" s="2" t="n">
        <x:f>-W14*W20/1000</x:f>
        <x:v>-8387.695001221706</x:v>
      </x:c>
      <x:c r="X63" s="2" t="n">
        <x:f>-X14*X20/1000</x:f>
        <x:v>-9580.495996586988</x:v>
      </x:c>
    </x:row>
    <x:row r="64" ht="21" customHeight="1">
      <x:c r="A64" s="1"/>
      <x:c r="B64" s="1"/>
      <x:c r="C64" s="1" t="str">
        <x:v>Packaging and sterilization expense</x:v>
      </x:c>
      <x:c r="D64" s="2" t="n">
        <x:f>-D14*D108/1000</x:f>
        <x:v>0</x:v>
      </x:c>
      <x:c r="E64" s="2" t="n">
        <x:f>-E14*E108/1000</x:f>
        <x:v>0</x:v>
      </x:c>
      <x:c r="F64" s="2" t="n">
        <x:f>-F14*E108/1000</x:f>
        <x:v>0</x:v>
      </x:c>
      <x:c r="G64" s="2" t="n">
        <x:f>-G14*E108/1000</x:f>
        <x:v>0</x:v>
      </x:c>
      <x:c r="H64" s="2" t="n">
        <x:f>-H14*E108/1000</x:f>
        <x:v>-0.80325</x:v>
      </x:c>
      <x:c r="I64" s="2" t="n">
        <x:f>-I14*F108/1000</x:f>
        <x:v>-7.562449999999999</x:v>
      </x:c>
      <x:c r="J64" s="2" t="n">
        <x:f>-J14*F108/1000</x:f>
        <x:v>-13.253913749999997</x:v>
      </x:c>
      <x:c r="K64" s="2" t="n">
        <x:f>-K14*F108/1000</x:f>
        <x:v>-18.59858660625</x:v>
      </x:c>
      <x:c r="L64" s="2" t="n">
        <x:f>-L14*F108/1000</x:f>
        <x:v>-29.15149595118466</x:v>
      </x:c>
      <x:c r="M64" s="2" t="n">
        <x:f>-M14*G108/1000</x:f>
        <x:v>-34.86974477168386</x:v>
      </x:c>
      <x:c r="N64" s="2" t="n">
        <x:f>-N14*G108/1000</x:f>
        <x:v>-55.96076551861399</x:v>
      </x:c>
      <x:c r="O64" s="2" t="n">
        <x:f>-O14*G108/1000</x:f>
        <x:v>-88.33344165572832</x:v>
      </x:c>
      <x:c r="P64" s="2" t="n">
        <x:f>-P14*G108/1000</x:f>
        <x:v>-133.23774211350613</x:v>
      </x:c>
      <x:c r="Q64" s="2" t="n">
        <x:f>-Q14*H108/1000</x:f>
        <x:v>-147.39491207082966</x:v>
      </x:c>
      <x:c r="R64" s="2" t="n">
        <x:f>-R14*H108/1000</x:f>
        <x:v>-198.245516134943</x:v>
      </x:c>
      <x:c r="S64" s="2" t="n">
        <x:f>-S14*H108/1000</x:f>
        <x:v>-255.15086989207055</x:v>
      </x:c>
      <x:c r="T64" s="2" t="n">
        <x:f>-T14*H108/1000</x:f>
        <x:v>-317.61963699935245</x:v>
      </x:c>
      <x:c r="U64" s="2" t="n">
        <x:f>-U14*I108/1000</x:f>
        <x:v>-330.56706050638127</x:v>
      </x:c>
      <x:c r="V64" s="2" t="n">
        <x:f>-V14*I108/1000</x:f>
        <x:v>-392.905713616907</x:v>
      </x:c>
      <x:c r="W64" s="2" t="n">
        <x:f>-W14*I108/1000</x:f>
        <x:v>-457.5106364302749</x:v>
      </x:c>
      <x:c r="X64" s="2" t="n">
        <x:f>-X14*I108/1000</x:f>
        <x:v>-522.5725089047447</x:v>
      </x:c>
    </x:row>
    <x:row r="65" ht="21" customHeight="1">
      <x:c r="A65" s="1"/>
      <x:c r="B65" s="1"/>
      <x:c r="C65" s="1" t="str">
        <x:v>Freight expense</x:v>
      </x:c>
      <x:c r="D65" s="2" t="n">
        <x:f>-D14*D109/1000</x:f>
        <x:v>0</x:v>
      </x:c>
      <x:c r="E65" s="2" t="n">
        <x:f>-E14*E109/1000</x:f>
        <x:v>0</x:v>
      </x:c>
      <x:c r="F65" s="2" t="n">
        <x:f>-F14*E109/1000</x:f>
        <x:v>0</x:v>
      </x:c>
      <x:c r="G65" s="2" t="n">
        <x:f>-G14*E109/1000</x:f>
        <x:v>0</x:v>
      </x:c>
      <x:c r="H65" s="2" t="n">
        <x:f>-H14*E109/1000</x:f>
        <x:v>-0.567</x:v>
      </x:c>
      <x:c r="I65" s="2" t="n">
        <x:f>-I14*F109/1000</x:f>
        <x:v>-5.6718375</x:v>
      </x:c>
      <x:c r="J65" s="2" t="n">
        <x:f>-J14*F109/1000</x:f>
        <x:v>-9.9404353125</x:v>
      </x:c>
      <x:c r="K65" s="2" t="n">
        <x:f>-K14*F109/1000</x:f>
        <x:v>-13.9489399546875</x:v>
      </x:c>
      <x:c r="L65" s="2" t="n">
        <x:f>-L14*F109/1000</x:f>
        <x:v>-21.863621963388496</x:v>
      </x:c>
      <x:c r="M65" s="2" t="n">
        <x:f>-M14*G109/1000</x:f>
        <x:v>-27.120912600198558</x:v>
      </x:c>
      <x:c r="N65" s="2" t="n">
        <x:f>-N14*G109/1000</x:f>
        <x:v>-43.52503984781087</x:v>
      </x:c>
      <x:c r="O65" s="2" t="n">
        <x:f>-O14*G109/1000</x:f>
        <x:v>-68.70378795445536</x:v>
      </x:c>
      <x:c r="P65" s="2" t="n">
        <x:f>-P14*G109/1000</x:f>
        <x:v>-103.62935497717142</x:v>
      </x:c>
      <x:c r="Q65" s="2" t="n">
        <x:f>-Q14*H109/1000</x:f>
        <x:v>-117.91592965666374</x:v>
      </x:c>
      <x:c r="R65" s="2" t="n">
        <x:f>-R14*H109/1000</x:f>
        <x:v>-158.59641290795443</x:v>
      </x:c>
      <x:c r="S65" s="2" t="n">
        <x:f>-S14*H109/1000</x:f>
        <x:v>-204.12069591365648</x:v>
      </x:c>
      <x:c r="T65" s="2" t="n">
        <x:f>-T14*H109/1000</x:f>
        <x:v>-254.09570959948198</x:v>
      </x:c>
      <x:c r="U65" s="2" t="n">
        <x:f>-U14*I109/1000</x:f>
        <x:v>-275.4725504219844</x:v>
      </x:c>
      <x:c r="V65" s="2" t="n">
        <x:f>-V14*I109/1000</x:f>
        <x:v>-327.4214280140892</x:v>
      </x:c>
      <x:c r="W65" s="2" t="n">
        <x:f>-W14*I109/1000</x:f>
        <x:v>-381.2588636918957</x:v>
      </x:c>
      <x:c r="X65" s="2" t="n">
        <x:f>-X14*I109/1000</x:f>
        <x:v>-435.477090753954</x:v>
      </x:c>
    </x:row>
    <x:row r="66" ht="21" customHeight="1">
      <x:c r="A66" s="1"/>
      <x:c r="B66" s="1"/>
      <x:c r="C66" s="1" t="str">
        <x:v>Scrap and replacement allowance</x:v>
      </x:c>
      <x:c r="D66" s="2" t="n">
        <x:f>D63*D110</x:f>
        <x:v>0</x:v>
      </x:c>
      <x:c r="E66" s="2" t="n">
        <x:f>E63*E110</x:f>
        <x:v>0</x:v>
      </x:c>
      <x:c r="F66" s="2" t="n">
        <x:f>F63*E110</x:f>
        <x:v>0</x:v>
      </x:c>
      <x:c r="G66" s="2" t="n">
        <x:f>G63*E110</x:f>
        <x:v>0</x:v>
      </x:c>
      <x:c r="H66" s="2" t="n">
        <x:f>H63*E110</x:f>
        <x:v>-1.512</x:v>
      </x:c>
      <x:c r="I66" s="2" t="n">
        <x:f>I63*F110</x:f>
        <x:v>-12.604083333333332</x:v>
      </x:c>
      <x:c r="J66" s="2" t="n">
        <x:f>J63*F110</x:f>
        <x:v>-22.089856249999997</x:v>
      </x:c>
      <x:c r="K66" s="2" t="n">
        <x:f>K63*F110</x:f>
        <x:v>-17.048704389062504</x:v>
      </x:c>
      <x:c r="L66" s="2" t="n">
        <x:f>L63*F110</x:f>
        <x:v>-26.722204621919275</x:v>
      </x:c>
      <x:c r="M66" s="2" t="n">
        <x:f>M63*G110</x:f>
        <x:v>-25.571146165901496</x:v>
      </x:c>
      <x:c r="N66" s="2" t="n">
        <x:f>N63*G110</x:f>
        <x:v>-41.03789471365025</x:v>
      </x:c>
      <x:c r="O66" s="2" t="n">
        <x:f>O63*G110</x:f>
        <x:v>-41.22227277267322</x:v>
      </x:c>
      <x:c r="P66" s="2" t="n">
        <x:f>P63*G110</x:f>
        <x:v>-62.17761298630285</x:v>
      </x:c>
      <x:c r="Q66" s="2" t="n">
        <x:f>Q63*H110</x:f>
        <x:v>-58.95796482833186</x:v>
      </x:c>
      <x:c r="R66" s="2" t="n">
        <x:f>R63*H110</x:f>
        <x:v>-79.29820645397722</x:v>
      </x:c>
      <x:c r="S66" s="2" t="n">
        <x:f>S63*H110</x:f>
        <x:v>-80.19027339465075</x:v>
      </x:c>
      <x:c r="T66" s="2" t="n">
        <x:f>T63*H110</x:f>
        <x:v>-99.82331448551078</x:v>
      </x:c>
      <x:c r="U66" s="2" t="n">
        <x:f>U63*I110</x:f>
        <x:v>-121.20792218567314</x:v>
      </x:c>
      <x:c r="V66" s="2" t="n">
        <x:f>V63*I110</x:f>
        <x:v>-144.06542832619922</x:v>
      </x:c>
      <x:c r="W66" s="2" t="n">
        <x:f>W63*I110</x:f>
        <x:v>-167.75390002443413</x:v>
      </x:c>
      <x:c r="X66" s="2" t="n">
        <x:f>X63*I110</x:f>
        <x:v>-191.60991993173977</x:v>
      </x:c>
    </x:row>
    <x:row r="67" ht="21" customHeight="1">
      <x:c r="A67" s="1"/>
      <x:c r="B67" s="1"/>
      <x:c r="C67" s="1" t="str">
        <x:v>Cumulative net sales before quarter</x:v>
      </x:c>
      <x:c r="D67" s="2" t="n">
        <x:f>0</x:f>
        <x:v>0</x:v>
      </x:c>
      <x:c r="E67" s="2" t="n">
        <x:f>SUM($D16:D16)</x:f>
        <x:v>0</x:v>
      </x:c>
      <x:c r="F67" s="2" t="n">
        <x:f>SUM($D16:E16)</x:f>
        <x:v>0</x:v>
      </x:c>
      <x:c r="G67" s="2" t="n">
        <x:f>SUM($D16:F16)</x:f>
        <x:v>0</x:v>
      </x:c>
      <x:c r="H67" s="2" t="n">
        <x:f>SUM($D16:G16)</x:f>
        <x:v>0</x:v>
      </x:c>
      <x:c r="I67" s="2" t="n">
        <x:f>SUM($D16:H16)</x:f>
        <x:v>18.9</x:v>
      </x:c>
      <x:c r="J67" s="2" t="n">
        <x:f>SUM($D16:I16)</x:f>
        <x:v>309.29807999999997</x:v>
      </x:c>
      <x:c r="K67" s="2" t="n">
        <x:f>SUM($D16:J16)</x:f>
        <x:v>818.248368</x:v>
      </x:c>
      <x:c r="L67" s="2" t="n">
        <x:f>SUM($D16:K16)</x:f>
        <x:v>1532.43409368</x:v>
      </x:c>
      <x:c r="M67" s="2" t="n">
        <x:f>SUM($D16:L16)</x:f>
        <x:v>2651.851538205491</x:v>
      </x:c>
      <x:c r="N67" s="2" t="n">
        <x:f>SUM($D16:M16)</x:f>
        <x:v>4843.221276301534</x:v>
      </x:c>
      <x:c r="O67" s="2" t="n">
        <x:f>SUM($D16:N16)</x:f>
        <x:v>8360.044496004653</x:v>
      </x:c>
      <x:c r="P67" s="2" t="n">
        <x:f>SUM($D16:O16)</x:f>
        <x:v>13911.310562724648</x:v>
      </x:c>
      <x:c r="Q67" s="2" t="n">
        <x:f>SUM($D16:P16)</x:f>
        <x:v>22284.5624448801</x:v>
      </x:c>
      <x:c r="R67" s="2" t="n">
        <x:f>SUM($D16:Q16)</x:f>
        <x:v>35002.63771499169</x:v>
      </x:c>
      <x:c r="S67" s="2" t="n">
        <x:f>SUM($D16:R16)</x:f>
        <x:v>52108.393678635344</x:v>
      </x:c>
      <x:c r="T67" s="2" t="n">
        <x:f>SUM($D16:S16)</x:f>
        <x:v>74124.268737894</x:v>
      </x:c>
      <x:c r="U67" s="2" t="n">
        <x:f>SUM($D16:T16)</x:f>
        <x:v>101530.30598755242</x:v>
      </x:c>
      <x:c r="V67" s="2" t="n">
        <x:f>SUM($D16:U16)</x:f>
        <x:v>135159.99494306828</x:v>
      </x:c>
      <x:c r="W67" s="2" t="n">
        <x:f>SUM($D16:V16)</x:f>
        <x:v>175131.60287502827</x:v>
      </x:c>
      <x:c r="X67" s="2" t="n">
        <x:f>SUM($D16:W16)</x:f>
        <x:v>221675.68495453493</x:v>
      </x:c>
    </x:row>
    <x:row r="68" ht="21" customHeight="1">
      <x:c r="A68" s="1"/>
      <x:c r="B68" s="1"/>
      <x:c r="C68" s="1" t="str">
        <x:v>UCLA sales royalty</x:v>
      </x:c>
      <x:c r="D68" s="2" t="n">
        <x:f>-(MIN(D16,MAX(0,$D$94-D67))*$D$92+MAX(0,D16-MAX(0,$D$94-D67))*$D$93)</x:f>
        <x:v>0</x:v>
      </x:c>
      <x:c r="E68" s="2" t="n">
        <x:f>-(MIN(E16,MAX(0,$D$94-E67))*$D$92+MAX(0,E16-MAX(0,$D$94-E67))*$D$93)</x:f>
        <x:v>0</x:v>
      </x:c>
      <x:c r="F68" s="2" t="n">
        <x:f>-(MIN(F16,MAX(0,$D$94-F67))*$D$92+MAX(0,F16-MAX(0,$D$94-F67))*$D$93)</x:f>
        <x:v>0</x:v>
      </x:c>
      <x:c r="G68" s="2" t="n">
        <x:f>-(MIN(G16,MAX(0,$D$94-G67))*$D$92+MAX(0,G16-MAX(0,$D$94-G67))*$D$93)</x:f>
        <x:v>0</x:v>
      </x:c>
      <x:c r="H68" s="2" t="n">
        <x:f>-(MIN(H16,MAX(0,$D$94-H67))*$D$92+MAX(0,H16-MAX(0,$D$94-H67))*$D$93)</x:f>
        <x:v>-0.567</x:v>
      </x:c>
      <x:c r="I68" s="2" t="n">
        <x:f>-(MIN(I16,MAX(0,$D$94-I67))*$D$92+MAX(0,I16-MAX(0,$D$94-I67))*$D$93)</x:f>
        <x:v>-8.7119424</x:v>
      </x:c>
      <x:c r="J68" s="2" t="n">
        <x:f>-(MIN(J16,MAX(0,$D$94-J67))*$D$92+MAX(0,J16-MAX(0,$D$94-J67))*$D$93)</x:f>
        <x:v>-15.26850864</x:v>
      </x:c>
      <x:c r="K68" s="2" t="n">
        <x:f>-(MIN(K16,MAX(0,$D$94-K67))*$D$92+MAX(0,K16-MAX(0,$D$94-K67))*$D$93)</x:f>
        <x:v>-21.4255717704</x:v>
      </x:c>
      <x:c r="L68" s="2" t="n">
        <x:f>-(MIN(L16,MAX(0,$D$94-L67))*$D$92+MAX(0,L16-MAX(0,$D$94-L67))*$D$93)</x:f>
        <x:v>-33.58252333576473</x:v>
      </x:c>
      <x:c r="M68" s="2" t="n">
        <x:f>-(MIN(M16,MAX(0,$D$94-M67))*$D$92+MAX(0,M16-MAX(0,$D$94-M67))*$D$93)</x:f>
        <x:v>-65.7410921428813</x:v>
      </x:c>
      <x:c r="N68" s="2" t="n">
        <x:f>-(MIN(N16,MAX(0,$D$94-N67))*$D$92+MAX(0,N16-MAX(0,$D$94-N67))*$D$93)</x:f>
        <x:v>-122.30491907111686</x:v>
      </x:c>
      <x:c r="O68" s="2" t="n">
        <x:f>-(MIN(O16,MAX(0,$D$94-O67))*$D$92+MAX(0,O16-MAX(0,$D$94-O67))*$D$93)</x:f>
        <x:v>-194.29431233519983</x:v>
      </x:c>
      <x:c r="P68" s="2" t="n">
        <x:f>-(MIN(P16,MAX(0,$D$94-P67))*$D$92+MAX(0,P16-MAX(0,$D$94-P67))*$D$93)</x:f>
        <x:v>-293.0638158754408</x:v>
      </x:c>
      <x:c r="Q68" s="2" t="n">
        <x:f>-(MIN(Q16,MAX(0,$D$94-Q67))*$D$92+MAX(0,Q16-MAX(0,$D$94-Q67))*$D$93)</x:f>
        <x:v>-445.13263445390567</x:v>
      </x:c>
      <x:c r="R68" s="2" t="n">
        <x:f>-(MIN(R16,MAX(0,$D$94-R67))*$D$92+MAX(0,R16-MAX(0,$D$94-R67))*$D$93)</x:f>
        <x:v>-598.701458727528</x:v>
      </x:c>
      <x:c r="S68" s="2" t="n">
        <x:f>-(MIN(S16,MAX(0,$D$94-S67))*$D$92+MAX(0,S16-MAX(0,$D$94-S67))*$D$93)</x:f>
        <x:v>-770.5556270740533</x:v>
      </x:c>
      <x:c r="T68" s="2" t="n">
        <x:f>-(MIN(T16,MAX(0,$D$94-T67))*$D$92+MAX(0,T16-MAX(0,$D$94-T67))*$D$93)</x:f>
        <x:v>-959.2113037380445</x:v>
      </x:c>
      <x:c r="U68" s="2" t="n">
        <x:f>-(MIN(U16,MAX(0,$D$94-U67))*$D$92+MAX(0,U16-MAX(0,$D$94-U67))*$D$93)</x:f>
        <x:v>-1177.0391134430554</x:v>
      </x:c>
      <x:c r="V68" s="2" t="n">
        <x:f>-(MIN(V16,MAX(0,$D$94-V67))*$D$92+MAX(0,V16-MAX(0,$D$94-V67))*$D$93)</x:f>
        <x:v>-1399.0062776186005</x:v>
      </x:c>
      <x:c r="W68" s="2" t="n">
        <x:f>-(MIN(W16,MAX(0,$D$94-W67))*$D$92+MAX(0,W16-MAX(0,$D$94-W67))*$D$93)</x:f>
        <x:v>-1629.0428727827325</x:v>
      </x:c>
      <x:c r="X68" s="2" t="n">
        <x:f>-(MIN(X16,MAX(0,$D$94-X67))*$D$92+MAX(0,X16-MAX(0,$D$94-X67))*$D$93)</x:f>
        <x:v>-1860.7065133734948</x:v>
      </x:c>
    </x:row>
    <x:row r="69" ht="21" customHeight="1">
      <x:c r="A69" s="1"/>
      <x:c r="B69" s="1"/>
      <x:c r="C69" s="1" t="str">
        <x:v>Total cost of goods sold</x:v>
      </x:c>
      <x:c r="D69" s="2" t="n">
        <x:f>SUM(D63:D66,D68)</x:f>
        <x:v>0</x:v>
      </x:c>
      <x:c r="E69" s="2" t="n">
        <x:f>SUM(E63:E66,E68)</x:f>
        <x:v>0</x:v>
      </x:c>
      <x:c r="F69" s="2" t="n">
        <x:f>SUM(F63:F66,F68)</x:f>
        <x:v>0</x:v>
      </x:c>
      <x:c r="G69" s="2" t="n">
        <x:f>SUM(G63:G66,G68)</x:f>
        <x:v>0</x:v>
      </x:c>
      <x:c r="H69" s="2" t="n">
        <x:f>SUM(H63:H66,H68)</x:f>
        <x:v>-22.349249999999998</x:v>
      </x:c>
      <x:c r="I69" s="2" t="n">
        <x:f>SUM(I63:I66,I68)</x:f>
        <x:v>-286.6319798999999</x:v>
      </x:c>
      <x:c r="J69" s="2" t="n">
        <x:f>SUM(J63:J66,J68)</x:f>
        <x:v>-502.34983895249997</x:v>
      </x:c>
      <x:c r="K69" s="2" t="n">
        <x:f>SUM(K63:K66,K68)</x:f>
        <x:v>-411.99589050165</x:v>
      </x:c>
      <x:c r="L69" s="2" t="n">
        <x:f>SUM(L63:L66,L68)</x:f>
        <x:v>-645.7639383106427</x:v>
      </x:c>
      <x:c r="M69" s="2" t="n">
        <x:f>SUM(M63:M66,M68)</x:f>
        <x:v>-1005.6744345440484</x:v>
      </x:c>
      <x:c r="N69" s="2" t="n">
        <x:f>SUM(N63:N66,N68)</x:f>
        <x:v>-1630.7584429395338</x:v>
      </x:c>
      <x:c r="O69" s="2" t="n">
        <x:f>SUM(O63:O66,O68)</x:f>
        <x:v>-1766.629573807164</x:v>
      </x:c>
      <x:c r="P69" s="2" t="n">
        <x:f>SUM(P63:P66,P68)</x:f>
        <x:v>-2664.6956254958495</x:v>
      </x:c>
      <x:c r="Q69" s="2" t="n">
        <x:f>SUM(Q63:Q66,Q68)</x:f>
        <x:v>-3717.299682426324</x:v>
      </x:c>
      <x:c r="R69" s="2" t="n">
        <x:f>SUM(R63:R66,R68)</x:f>
        <x:v>-4999.751916923264</x:v>
      </x:c>
      <x:c r="S69" s="2" t="n">
        <x:f>SUM(S63:S66,S68)</x:f>
        <x:v>-5319.531136006968</x:v>
      </x:c>
      <x:c r="T69" s="2" t="n">
        <x:f>SUM(T63:T66,T68)</x:f>
        <x:v>-6621.915689097928</x:v>
      </x:c>
      <x:c r="U69" s="2" t="n">
        <x:f>SUM(U63:U66,U68)</x:f>
        <x:v>-7964.682755840751</x:v>
      </x:c>
      <x:c r="V69" s="2" t="n">
        <x:f>SUM(V63:V66,V68)</x:f>
        <x:v>-9466.670263885757</x:v>
      </x:c>
      <x:c r="W69" s="2" t="n">
        <x:f>SUM(W63:W66,W68)</x:f>
        <x:v>-11023.261274151044</x:v>
      </x:c>
      <x:c r="X69" s="2" t="n">
        <x:f>SUM(X63:X66,X68)</x:f>
        <x:v>-12590.862029550919</x:v>
      </x:c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32" customHeight="1">
      <x:c r="A71" s="1"/>
      <x:c r="B71" s="1"/>
      <x:c r="C71" s="9" t="str">
        <x:v>Account figures are expected values. Patient use reflects account ramp and a four-month treatment course.</x:v>
      </x:c>
      <x:c r="D71" s="10"/>
      <x:c r="E71" s="10"/>
      <x:c r="F71" s="10"/>
      <x:c r="G71" s="10"/>
      <x:c r="H71" s="10"/>
      <x:c r="I71" s="10"/>
      <x:c r="J71" s="10"/>
      <x:c r="K71" s="10"/>
      <x:c r="L71" s="10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32" customHeight="1">
      <x:c r="A72" s="1"/>
      <x:c r="B72" s="1"/>
      <x:c r="C72" s="9" t="str">
        <x:v>The forecast assumes first paid sales in December 2027 after clearance. D2C wellness contributes no forecast revenue.</x:v>
      </x:c>
      <x:c r="D72" s="10"/>
      <x:c r="E72" s="10"/>
      <x:c r="F72" s="10"/>
      <x:c r="G72" s="10"/>
      <x:c r="H72" s="10"/>
      <x:c r="I72" s="10"/>
      <x:c r="J72" s="10"/>
      <x:c r="K72" s="10"/>
      <x:c r="L72" s="10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</x:row>
    <x:row r="74" ht="23" customHeight="1">
      <x:c r="A74" s="1"/>
      <x:c r="B74" s="1"/>
      <x:c r="C74" s="13" t="str">
        <x:v>Commercial assumptions</x:v>
      </x:c>
      <x:c r="D74" s="14"/>
      <x:c r="E74" s="14"/>
      <x:c r="F74" s="14"/>
      <x:c r="G74" s="14"/>
      <x:c r="H74" s="14"/>
      <x:c r="I74" s="14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</x:row>
    <x:row r="75" ht="21" customHeight="1">
      <x:c r="A75" s="1"/>
      <x:c r="B75" s="1"/>
      <x:c r="C75" s="1" t="str">
        <x:v>Launch quarter index (Q4 2026 = 1)</x:v>
      </x:c>
      <x:c r="D75" s="24" t="n">
        <x:v>5</x:v>
      </x:c>
      <x:c r="E75" s="2"/>
      <x:c r="F75" s="2" t="str">
        <x:f>"Q"&amp;(MOD(D75+2,4)+1)&amp;":"&amp;(26+INT((D75+2)/4))</x:f>
        <x:v>Q4:27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</x:row>
    <x:row r="76" ht="21" customHeight="1">
      <x:c r="A76" s="1"/>
      <x:c r="B76" s="1"/>
      <x:c r="C76" s="1" t="str">
        <x:v>Months of sales in launch quarter</x:v>
      </x:c>
      <x:c r="D76" s="24" t="n">
        <x:v>1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</x:row>
    <x:row r="77" ht="21" customHeight="1">
      <x:c r="A77" s="1"/>
      <x:c r="B77" s="1"/>
      <x:c r="C77" s="1" t="str">
        <x:v>Qualified reference-account candidates</x:v>
      </x:c>
      <x:c r="D77" s="24" t="n">
        <x:v>10</x:v>
      </x:c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</x:row>
    <x:row r="78" ht="21" customHeight="1">
      <x:c r="A78" s="1"/>
      <x:c r="B78" s="1"/>
      <x:c r="C78" s="1" t="str">
        <x:v>Reference-account conversion</x:v>
      </x:c>
      <x:c r="D78" s="23" t="n">
        <x:v>0.75</x:v>
      </x:c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21" customHeight="1">
      <x:c r="A79" s="1"/>
      <x:c r="B79" s="1"/>
      <x:c r="C79" s="1" t="str">
        <x:v>Reference first-quarter utilization</x:v>
      </x:c>
      <x:c r="D79" s="23" t="n">
        <x:v>0.6</x:v>
      </x:c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</x:row>
    <x:row r="80" ht="21" customHeight="1">
      <x:c r="A80" s="1"/>
      <x:c r="B80" s="1"/>
      <x:c r="C80" s="1" t="str">
        <x:v>Reference eligible patients per year</x:v>
      </x:c>
      <x:c r="D80" s="17" t="n">
        <x:v>1400</x:v>
      </x:c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</x:row>
    <x:row r="81" ht="21" customHeight="1">
      <x:c r="A81" s="1"/>
      <x:c r="B81" s="1"/>
      <x:c r="C81" s="1" t="str">
        <x:v>Reference panel penetration</x:v>
      </x:c>
      <x:c r="D81" s="23" t="n">
        <x:v>0.18</x:v>
      </x:c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</x:row>
    <x:row r="82" ht="21" customHeight="1">
      <x:c r="A82" s="1"/>
      <x:c r="B82" s="1"/>
      <x:c r="C82" s="1" t="str">
        <x:v>New-account utilization, first quarter</x:v>
      </x:c>
      <x:c r="D82" s="23" t="n">
        <x:v>0.35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</x:row>
    <x:row r="83" ht="21" customHeight="1">
      <x:c r="A83" s="1"/>
      <x:c r="B83" s="1"/>
      <x:c r="C83" s="1" t="str">
        <x:v>New-account utilization, second quarter</x:v>
      </x:c>
      <x:c r="D83" s="23" t="n">
        <x:v>0.7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</x:row>
    <x:row r="84" ht="21" customHeight="1">
      <x:c r="A84" s="1"/>
      <x:c r="B84" s="1"/>
      <x:c r="C84" s="1" t="str">
        <x:v>Founder evaluation capacity per quarter</x:v>
      </x:c>
      <x:c r="D84" s="17" t="n">
        <x:v>8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</x:row>
    <x:row r="85" ht="21" customHeight="1">
      <x:c r="A85" s="1"/>
      <x:c r="B85" s="1"/>
      <x:c r="C85" s="1" t="str">
        <x:v>Evaluations per productive sales FTE</x:v>
      </x:c>
      <x:c r="D85" s="17" t="n">
        <x:v>5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</x:row>
    <x:row r="86" ht="21" customHeight="1">
      <x:c r="A86" s="1"/>
      <x:c r="B86" s="1"/>
      <x:c r="C86" s="1" t="str">
        <x:v>Sales productivity, first two quarters</x:v>
      </x:c>
      <x:c r="D86" s="23" t="n">
        <x:v>0.5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</x:row>
    <x:row r="87" ht="21" customHeight="1">
      <x:c r="A87" s="1"/>
      <x:c r="B87" s="1"/>
      <x:c r="C87" s="1" t="str">
        <x:v>Patches per bundle</x:v>
      </x:c>
      <x:c r="D87" s="24" t="n">
        <x:v>5</x:v>
      </x:c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</x:row>
    <x:row r="88" ht="21" customHeight="1">
      <x:c r="A88" s="1"/>
      <x:c r="B88" s="1"/>
      <x:c r="C88" s="1" t="str">
        <x:v>List price per bundle ($)</x:v>
      </x:c>
      <x:c r="D88" s="24" t="n">
        <x:v>200</x:v>
      </x:c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</x:row>
    <x:row r="89" ht="21" customHeight="1">
      <x:c r="A89" s="1"/>
      <x:c r="B89" s="1"/>
      <x:c r="C89" s="1" t="str">
        <x:v>Patches per patient-month</x:v>
      </x:c>
      <x:c r="D89" s="24" t="n">
        <x:v>10</x:v>
      </x:c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21" customHeight="1">
      <x:c r="A90" s="1"/>
      <x:c r="B90" s="1"/>
      <x:c r="C90" s="1" t="str">
        <x:v>Treatment duration (months)</x:v>
      </x:c>
      <x:c r="D90" s="24" t="n">
        <x:v>4</x:v>
      </x:c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21" customHeight="1">
      <x:c r="A91" s="1"/>
      <x:c r="B91" s="1"/>
      <x:c r="C91" s="1" t="str">
        <x:v>Patient-months per start, normal quarter</x:v>
      </x:c>
      <x:c r="D91" s="24" t="n">
        <x:v>2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21" customHeight="1">
      <x:c r="A92" s="1"/>
      <x:c r="B92" s="1"/>
      <x:c r="C92" s="1" t="str">
        <x:v>Royalty on first $5 million of net sales</x:v>
      </x:c>
      <x:c r="D92" s="23" t="n">
        <x:v>0.03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21" customHeight="1">
      <x:c r="A93" s="1"/>
      <x:c r="B93" s="1"/>
      <x:c r="C93" s="1" t="str">
        <x:v>Royalty above $5 million of net sales</x:v>
      </x:c>
      <x:c r="D93" s="23" t="n">
        <x:v>0.035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21" customHeight="1">
      <x:c r="A94" s="1"/>
      <x:c r="B94" s="1"/>
      <x:c r="C94" s="1" t="str">
        <x:v>Royalty threshold ($000)</x:v>
      </x:c>
      <x:c r="D94" s="17" t="n">
        <x:v>5000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21" customHeight="1">
      <x:c r="A95" s="1"/>
      <x:c r="B95" s="1"/>
      <x:c r="C95" s="1" t="str">
        <x:v>Evaluation patches per account per quarter</x:v>
      </x:c>
      <x:c r="D95" s="17" t="n">
        <x:v>30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30" customHeight="1">
      <x:c r="A98" s="1"/>
      <x:c r="B98" s="1"/>
      <x:c r="C98" s="25" t="str">
        <x:v>Account segment</x:v>
      </x:c>
      <x:c r="D98" s="26" t="str">
        <x:v>Evaluation qtrs</x:v>
      </x:c>
      <x:c r="E98" s="26" t="str">
        <x:v>Conversion</x:v>
      </x:c>
      <x:c r="F98" s="26" t="str">
        <x:v>Annual churn</x:v>
      </x:c>
      <x:c r="G98" s="26" t="str">
        <x:v>Annual panel</x:v>
      </x:c>
      <x:c r="H98" s="26" t="str">
        <x:v>Penetration</x:v>
      </x:c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21" customHeight="1">
      <x:c r="A99" s="1"/>
      <x:c r="B99" s="1"/>
      <x:c r="C99" s="1" t="str">
        <x:v>Home health</x:v>
      </x:c>
      <x:c r="D99" s="24" t="n">
        <x:v>1</x:v>
      </x:c>
      <x:c r="E99" s="23" t="n">
        <x:v>0.75</x:v>
      </x:c>
      <x:c r="F99" s="23" t="n">
        <x:v>0.12</x:v>
      </x:c>
      <x:c r="G99" s="24" t="n">
        <x:v>2000</x:v>
      </x:c>
      <x:c r="H99" s="23" t="n">
        <x:v>0.14</x:v>
      </x:c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21" customHeight="1">
      <x:c r="A100" s="1"/>
      <x:c r="B100" s="1"/>
      <x:c r="C100" s="1" t="str">
        <x:v>Wound clinics</x:v>
      </x:c>
      <x:c r="D100" s="24" t="n">
        <x:v>2</x:v>
      </x:c>
      <x:c r="E100" s="23" t="n">
        <x:v>0.65</x:v>
      </x:c>
      <x:c r="F100" s="23" t="n">
        <x:v>0.1</x:v>
      </x:c>
      <x:c r="G100" s="24" t="n">
        <x:v>300</x:v>
      </x:c>
      <x:c r="H100" s="23" t="n">
        <x:v>0.18</x:v>
      </x:c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21" customHeight="1">
      <x:c r="A101" s="1"/>
      <x:c r="B101" s="1"/>
      <x:c r="C101" s="1" t="str">
        <x:v>Hospitals and systems</x:v>
      </x:c>
      <x:c r="D101" s="24" t="n">
        <x:v>3</x:v>
      </x:c>
      <x:c r="E101" s="23" t="n">
        <x:v>0.5</x:v>
      </x:c>
      <x:c r="F101" s="23" t="n">
        <x:v>0.06</x:v>
      </x:c>
      <x:c r="G101" s="24" t="n">
        <x:v>6000</x:v>
      </x:c>
      <x:c r="H101" s="23" t="n">
        <x:v>0.1</x:v>
      </x:c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21" customHeight="1">
      <x:c r="A104" s="1"/>
      <x:c r="B104" s="1"/>
      <x:c r="C104" s="15" t="str">
        <x:v>Annual assumptions</x:v>
      </x:c>
      <x:c r="D104" s="28" t="n">
        <x:v>2026</x:v>
      </x:c>
      <x:c r="E104" s="28" t="n">
        <x:v>2027</x:v>
      </x:c>
      <x:c r="F104" s="28" t="n">
        <x:v>2028</x:v>
      </x:c>
      <x:c r="G104" s="28" t="n">
        <x:v>2029</x:v>
      </x:c>
      <x:c r="H104" s="28" t="n">
        <x:v>2030</x:v>
      </x:c>
      <x:c r="I104" s="28" t="n">
        <x:v>2031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21" customHeight="1">
      <x:c r="A105" s="1"/>
      <x:c r="B105" s="1"/>
      <x:c r="C105" s="1" t="str">
        <x:v>Direct-sale discount</x:v>
      </x:c>
      <x:c r="D105" s="23" t="n">
        <x:v>0.5</x:v>
      </x:c>
      <x:c r="E105" s="23" t="n">
        <x:v>0.5</x:v>
      </x:c>
      <x:c r="F105" s="23" t="n">
        <x:v>0.44</x:v>
      </x:c>
      <x:c r="G105" s="23" t="n">
        <x:v>0.29</x:v>
      </x:c>
      <x:c r="H105" s="23" t="n">
        <x:v>0.2</x:v>
      </x:c>
      <x:c r="I105" s="23" t="n">
        <x:v>0.16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21" customHeight="1">
      <x:c r="A106" s="1"/>
      <x:c r="B106" s="1"/>
      <x:c r="C106" s="1" t="str">
        <x:v>Distributor volume share</x:v>
      </x:c>
      <x:c r="D106" s="23" t="n">
        <x:v>0</x:v>
      </x:c>
      <x:c r="E106" s="23" t="n">
        <x:v>0</x:v>
      </x:c>
      <x:c r="F106" s="23" t="n">
        <x:v>0.1</x:v>
      </x:c>
      <x:c r="G106" s="23" t="n">
        <x:v>0.3</x:v>
      </x:c>
      <x:c r="H106" s="23" t="n">
        <x:v>0.45</x:v>
      </x:c>
      <x:c r="I106" s="23" t="n">
        <x:v>0.55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21" customHeight="1">
      <x:c r="A107" s="1"/>
      <x:c r="B107" s="1"/>
      <x:c r="C107" s="1" t="str">
        <x:v>Distributor discount to list</x:v>
      </x:c>
      <x:c r="D107" s="23" t="n">
        <x:v>0</x:v>
      </x:c>
      <x:c r="E107" s="23" t="n">
        <x:v>0</x:v>
      </x:c>
      <x:c r="F107" s="23" t="n">
        <x:v>0.28</x:v>
      </x:c>
      <x:c r="G107" s="23" t="n">
        <x:v>0.3</x:v>
      </x:c>
      <x:c r="H107" s="23" t="n">
        <x:v>0.3</x:v>
      </x:c>
      <x:c r="I107" s="23" t="n">
        <x:v>0.3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21" customHeight="1">
      <x:c r="A108" s="1"/>
      <x:c r="B108" s="1"/>
      <x:c r="C108" s="1" t="str">
        <x:v>Packaging and sterilization per patch ($)</x:v>
      </x:c>
      <x:c r="D108" s="29" t="n">
        <x:v>0.85</x:v>
      </x:c>
      <x:c r="E108" s="29" t="n">
        <x:v>0.85</x:v>
      </x:c>
      <x:c r="F108" s="29" t="n">
        <x:v>0.6</x:v>
      </x:c>
      <x:c r="G108" s="29" t="n">
        <x:v>0.45</x:v>
      </x:c>
      <x:c r="H108" s="29" t="n">
        <x:v>0.35</x:v>
      </x:c>
      <x:c r="I108" s="29" t="n">
        <x:v>0.3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21" customHeight="1">
      <x:c r="A109" s="1"/>
      <x:c r="B109" s="1"/>
      <x:c r="C109" s="1" t="str">
        <x:v>Freight per patch ($)</x:v>
      </x:c>
      <x:c r="D109" s="29" t="n">
        <x:v>0.6</x:v>
      </x:c>
      <x:c r="E109" s="29" t="n">
        <x:v>0.6</x:v>
      </x:c>
      <x:c r="F109" s="29" t="n">
        <x:v>0.45</x:v>
      </x:c>
      <x:c r="G109" s="29" t="n">
        <x:v>0.35</x:v>
      </x:c>
      <x:c r="H109" s="29" t="n">
        <x:v>0.28</x:v>
      </x:c>
      <x:c r="I109" s="29" t="n">
        <x:v>0.25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21" customHeight="1">
      <x:c r="A110" s="1"/>
      <x:c r="B110" s="1"/>
      <x:c r="C110" s="1" t="str">
        <x:v>Scrap allowance on manufacturing</x:v>
      </x:c>
      <x:c r="D110" s="23" t="n">
        <x:v>0.08</x:v>
      </x:c>
      <x:c r="E110" s="23" t="n">
        <x:v>0.08</x:v>
      </x:c>
      <x:c r="F110" s="23" t="n">
        <x:v>0.05</x:v>
      </x:c>
      <x:c r="G110" s="23" t="n">
        <x:v>0.03</x:v>
      </x:c>
      <x:c r="H110" s="23" t="n">
        <x:v>0.02</x:v>
      </x:c>
      <x:c r="I110" s="23" t="n">
        <x:v>0.02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21" customHeight="1">
      <x:c r="A111" s="1"/>
      <x:c r="B111" s="1"/>
      <x:c r="C111" s="1" t="str">
        <x:v>Onboarding per new account ($000)</x:v>
      </x:c>
      <x:c r="D111" s="17" t="n">
        <x:v>0</x:v>
      </x:c>
      <x:c r="E111" s="17" t="n">
        <x:v>1.5</x:v>
      </x:c>
      <x:c r="F111" s="17" t="n">
        <x:v>1.5</x:v>
      </x:c>
      <x:c r="G111" s="17" t="n">
        <x:v>1.4</x:v>
      </x:c>
      <x:c r="H111" s="17" t="n">
        <x:v>1.3</x:v>
      </x:c>
      <x:c r="I111" s="17" t="n">
        <x:v>1.2</x:v>
      </x:c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21" customHeight="1">
      <x:c r="A112" s="1"/>
      <x:c r="B112" s="1"/>
      <x:c r="C112" s="1" t="str">
        <x:v>Channel evaluation capacity per quarter</x:v>
      </x:c>
      <x:c r="D112" s="17" t="n">
        <x:v>0</x:v>
      </x:c>
      <x:c r="E112" s="17" t="n">
        <x:v>0</x:v>
      </x:c>
      <x:c r="F112" s="17" t="n">
        <x:v>3</x:v>
      </x:c>
      <x:c r="G112" s="17" t="n">
        <x:v>18</x:v>
      </x:c>
      <x:c r="H112" s="17" t="n">
        <x:v>41</x:v>
      </x:c>
      <x:c r="I112" s="17" t="n">
        <x:v>62</x:v>
      </x:c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21" customHeight="1">
      <x:c r="A113" s="1"/>
      <x:c r="B113" s="1"/>
      <x:c r="C113" s="1" t="str">
        <x:v>Surgical / orthopedic volume share</x:v>
      </x:c>
      <x:c r="D113" s="23" t="n">
        <x:v>0</x:v>
      </x:c>
      <x:c r="E113" s="23" t="n">
        <x:v>0</x:v>
      </x:c>
      <x:c r="F113" s="23" t="n">
        <x:v>0</x:v>
      </x:c>
      <x:c r="G113" s="23" t="n">
        <x:v>0.06</x:v>
      </x:c>
      <x:c r="H113" s="23" t="n">
        <x:v>0.12</x:v>
      </x:c>
      <x:c r="I113" s="23" t="n">
        <x:v>0.16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21" customHeight="1">
      <x:c r="A114" s="1"/>
      <x:c r="B114" s="1"/>
      <x:c r="C114" s="1" t="str">
        <x:v>Direct revenue per patch ($)</x:v>
      </x:c>
      <x:c r="D114" s="30" t="n">
        <x:f>$D$88/$D$87*(1-D105)</x:f>
        <x:v>20</x:v>
      </x:c>
      <x:c r="E114" s="30" t="n">
        <x:f>$D$88/$D$87*(1-E105)</x:f>
        <x:v>20</x:v>
      </x:c>
      <x:c r="F114" s="30" t="n">
        <x:f>$D$88/$D$87*(1-F105)</x:f>
        <x:v>22.400000000000002</x:v>
      </x:c>
      <x:c r="G114" s="30" t="n">
        <x:f>$D$88/$D$87*(1-G105)</x:f>
        <x:v>28.4</x:v>
      </x:c>
      <x:c r="H114" s="30" t="n">
        <x:f>$D$88/$D$87*(1-H105)</x:f>
        <x:v>32</x:v>
      </x:c>
      <x:c r="I114" s="30" t="n">
        <x:f>$D$88/$D$87*(1-I105)</x:f>
        <x:v>33.6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21" customHeight="1">
      <x:c r="A115" s="1"/>
      <x:c r="B115" s="1"/>
      <x:c r="C115" s="1" t="str">
        <x:v>Distributor revenue per patch ($)</x:v>
      </x:c>
      <x:c r="D115" s="30" t="n">
        <x:f>$D$88/$D$87*(1-D107)</x:f>
        <x:v>40</x:v>
      </x:c>
      <x:c r="E115" s="30" t="n">
        <x:f>$D$88/$D$87*(1-E107)</x:f>
        <x:v>40</x:v>
      </x:c>
      <x:c r="F115" s="30" t="n">
        <x:f>$D$88/$D$87*(1-F107)</x:f>
        <x:v>28.799999999999997</x:v>
      </x:c>
      <x:c r="G115" s="30" t="n">
        <x:f>$D$88/$D$87*(1-G107)</x:f>
        <x:v>28</x:v>
      </x:c>
      <x:c r="H115" s="30" t="n">
        <x:f>$D$88/$D$87*(1-H107)</x:f>
        <x:v>28</x:v>
      </x:c>
      <x:c r="I115" s="30" t="n">
        <x:f>$D$88/$D$87*(1-I107)</x:f>
        <x:v>28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21" customHeight="1">
      <x:c r="A116" s="1"/>
      <x:c r="B116" s="1"/>
      <x:c r="C116" s="1" t="str">
        <x:v>Blended net revenue per patch ($)</x:v>
      </x:c>
      <x:c r="D116" s="30" t="n">
        <x:f>D114*(1-D106)+D115*D106</x:f>
        <x:v>20</x:v>
      </x:c>
      <x:c r="E116" s="30" t="n">
        <x:f>E114*(1-E106)+E115*E106</x:f>
        <x:v>20</x:v>
      </x:c>
      <x:c r="F116" s="30" t="n">
        <x:f>F114*(1-F106)+F115*F106</x:f>
        <x:v>23.040000000000003</x:v>
      </x:c>
      <x:c r="G116" s="30" t="n">
        <x:f>G114*(1-G106)+G115*G106</x:f>
        <x:v>28.28</x:v>
      </x:c>
      <x:c r="H116" s="30" t="n">
        <x:f>H114*(1-H106)+H115*H106</x:f>
        <x:v>30.200000000000003</x:v>
      </x:c>
      <x:c r="I116" s="30" t="n">
        <x:f>I114*(1-I106)+I115*I106</x:f>
        <x:v>30.520000000000003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32" customHeight="1">
      <x:c r="A120" s="1"/>
      <x:c r="B120" s="1"/>
      <x:c r="C120" s="25" t="str">
        <x:v>Manufacturing stage</x:v>
      </x:c>
      <x:c r="D120" s="26" t="str">
        <x:v>Start qtr index</x:v>
      </x:c>
      <x:c r="E120" s="26" t="str">
        <x:v>Cost / patch ($)</x:v>
      </x:c>
      <x:c r="F120" s="26" t="str">
        <x:v>Monthly capacity</x:v>
      </x:c>
      <x:c r="G120" s="26" t="str">
        <x:v>Tooling ($000)</x:v>
      </x:c>
      <x:c r="H120" s="14" t="str">
        <x:v>Qualification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  <x:row r="121" ht="21" customHeight="1">
      <x:c r="A121" s="1"/>
      <x:c r="B121" s="1"/>
      <x:c r="C121" s="1" t="str">
        <x:v>Pilot / bridge</x:v>
      </x:c>
      <x:c r="D121" s="17" t="n">
        <x:v>1</x:v>
      </x:c>
      <x:c r="E121" s="29" t="n">
        <x:v>20</x:v>
      </x:c>
      <x:c r="F121" s="24" t="n">
        <x:v>12000</x:v>
      </x:c>
      <x:c r="G121" s="17" t="n">
        <x:v>0</x:v>
      </x:c>
      <x:c r="H121" s="2" t="str">
        <x:f>"Q"&amp;(MOD(D121+2,4)+1)&amp;":"&amp;(26+INT((D121+2)/4))</x:f>
        <x:v>Q4:26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</x:row>
    <x:row r="122" ht="21" customHeight="1">
      <x:c r="A122" s="1"/>
      <x:c r="B122" s="1"/>
      <x:c r="C122" s="1" t="str">
        <x:v>Transferred production</x:v>
      </x:c>
      <x:c r="D122" s="17" t="n">
        <x:v>8</x:v>
      </x:c>
      <x:c r="E122" s="29" t="n">
        <x:v>11</x:v>
      </x:c>
      <x:c r="F122" s="24" t="n">
        <x:v>90000</x:v>
      </x:c>
      <x:c r="G122" s="17" t="n">
        <x:v>180</x:v>
      </x:c>
      <x:c r="H122" s="2" t="str">
        <x:f>"Q"&amp;(MOD(D122+2,4)+1)&amp;":"&amp;(26+INT((D122+2)/4))</x:f>
        <x:v>Q3:28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</x:row>
    <x:row r="123" ht="21" customHeight="1">
      <x:c r="A123" s="1"/>
      <x:c r="B123" s="1"/>
      <x:c r="C123" s="1" t="str">
        <x:v>Semi-automated</x:v>
      </x:c>
      <x:c r="D123" s="17" t="n">
        <x:v>12</x:v>
      </x:c>
      <x:c r="E123" s="29" t="n">
        <x:v>7</x:v>
      </x:c>
      <x:c r="F123" s="24" t="n">
        <x:v>260000</x:v>
      </x:c>
      <x:c r="G123" s="17" t="n">
        <x:v>260</x:v>
      </x:c>
      <x:c r="H123" s="2" t="str">
        <x:f>"Q"&amp;(MOD(D123+2,4)+1)&amp;":"&amp;(26+INT((D123+2)/4))</x:f>
        <x:v>Q3:29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</x:row>
    <x:row r="124" ht="21" customHeight="1">
      <x:c r="A124" s="1"/>
      <x:c r="B124" s="1"/>
      <x:c r="C124" s="1" t="str">
        <x:v>Commercial scale</x:v>
      </x:c>
      <x:c r="D124" s="17" t="n">
        <x:v>16</x:v>
      </x:c>
      <x:c r="E124" s="29" t="n">
        <x:v>5.5</x:v>
      </x:c>
      <x:c r="F124" s="24" t="n">
        <x:v>650000</x:v>
      </x:c>
      <x:c r="G124" s="17" t="n">
        <x:v>320</x:v>
      </x:c>
      <x:c r="H124" s="2" t="str">
        <x:f>"Q"&amp;(MOD(D124+2,4)+1)&amp;":"&amp;(26+INT((D124+2)/4))</x:f>
        <x:v>Q3:30</x:v>
      </x:c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</x:row>
    <x:row r="126" ht="32" customHeight="1">
      <x:c r="A126" s="1"/>
      <x:c r="B126" s="1"/>
      <x:c r="C126" s="9" t="str">
        <x:v>Manufacturing cost reductions require process qualification. Packaging, freight, scrap and royalties are additional.</x:v>
      </x:c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</x:row>
    <x:row r="127" ht="32" customHeight="1">
      <x:c r="A127" s="1"/>
      <x:c r="B127" s="1"/>
      <x:c r="C127" s="9" t="str">
        <x:v>Introductory pricing is $100 per five-patch bundle; list pricing is $200. Realized pricing reflects adoption and channel discounts.</x:v>
      </x:c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</x:row>
  </x:sheetData>
  <x:mergeCells>
    <x:mergeCell ref="C4:L4"/>
    <x:mergeCell ref="C71:L71"/>
    <x:mergeCell ref="C72:L72"/>
    <x:mergeCell ref="C126:L126"/>
    <x:mergeCell ref="C127:L127"/>
  </x:mergeCells>
  <x:dataValidations count="2">
    <x:dataValidation type="whole" operator="between" sqref="D75">
      <x:formula1>1</x:formula1>
      <x:formula2>21</x:formula2>
    </x:dataValidation>
    <x:dataValidation type="whole" operator="between" sqref="D76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1" customHeight="1">
      <x:c r="A2" s="1"/>
      <x:c r="B2" s="1"/>
      <x:c r="C2" s="3" t="str">
        <x:v>RaiCare cash flow forecast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 ht="21" customHeight="1">
      <x:c r="A3" s="1"/>
      <x:c r="B3" s="1"/>
      <x:c r="C3" s="5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</x:row>
    <x:row r="4" ht="32" customHeight="1">
      <x:c r="A4" s="1"/>
      <x:c r="B4" s="1"/>
      <x:c r="C4" s="9" t="str">
        <x:v>USD thousands. Forecast financing is a funding target, not cash received. No grants or debt are assumed.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21" customHeight="1">
      <x:c r="A6" s="1"/>
      <x:c r="B6" s="1"/>
      <x:c r="C6" s="15" t="str">
        <x:v>Forecast quarter</x:v>
      </x:c>
      <x:c r="D6" s="16" t="str">
        <x:v>Q4:26</x:v>
      </x:c>
      <x:c r="E6" s="16" t="str">
        <x:v>Q1:27</x:v>
      </x:c>
      <x:c r="F6" s="16" t="str">
        <x:v>Q2:27</x:v>
      </x:c>
      <x:c r="G6" s="16" t="str">
        <x:v>Q3:27</x:v>
      </x:c>
      <x:c r="H6" s="16" t="str">
        <x:v>Q4:27</x:v>
      </x:c>
      <x:c r="I6" s="16" t="str">
        <x:v>Q1:28</x:v>
      </x:c>
      <x:c r="J6" s="16" t="str">
        <x:v>Q2:28</x:v>
      </x:c>
      <x:c r="K6" s="16" t="str">
        <x:v>Q3:28</x:v>
      </x:c>
      <x:c r="L6" s="16" t="str">
        <x:v>Q4:28</x:v>
      </x:c>
      <x:c r="M6" s="16" t="str">
        <x:v>Q1:29</x:v>
      </x:c>
      <x:c r="N6" s="16" t="str">
        <x:v>Q2:29</x:v>
      </x:c>
      <x:c r="O6" s="16" t="str">
        <x:v>Q3:29</x:v>
      </x:c>
      <x:c r="P6" s="16" t="str">
        <x:v>Q4:29</x:v>
      </x:c>
      <x:c r="Q6" s="16" t="str">
        <x:v>Q1:30</x:v>
      </x:c>
      <x:c r="R6" s="16" t="str">
        <x:v>Q2:30</x:v>
      </x:c>
      <x:c r="S6" s="16" t="str">
        <x:v>Q3:30</x:v>
      </x:c>
      <x:c r="T6" s="16" t="str">
        <x:v>Q4:30</x:v>
      </x:c>
      <x:c r="U6" s="16" t="str">
        <x:v>Q1:31</x:v>
      </x:c>
      <x:c r="V6" s="16" t="str">
        <x:v>Q2:31</x:v>
      </x:c>
      <x:c r="W6" s="16" t="str">
        <x:v>Q3:31</x:v>
      </x:c>
      <x:c r="X6" s="16" t="str">
        <x:v>Q4:31</x:v>
      </x:c>
    </x:row>
    <x:row r="7" ht="21" customHeight="1">
      <x:c r="A7" s="1"/>
      <x:c r="B7" s="1"/>
      <x:c r="C7" s="1" t="str">
        <x:v>Product revenue</x:v>
      </x:c>
      <x:c r="D7" s="31" t="n">
        <x:f>'Revenue Model'!D16</x:f>
        <x:v>0</x:v>
      </x:c>
      <x:c r="E7" s="31" t="n">
        <x:f>'Revenue Model'!E16</x:f>
        <x:v>0</x:v>
      </x:c>
      <x:c r="F7" s="31" t="n">
        <x:f>'Revenue Model'!F16</x:f>
        <x:v>0</x:v>
      </x:c>
      <x:c r="G7" s="31" t="n">
        <x:f>'Revenue Model'!G16</x:f>
        <x:v>0</x:v>
      </x:c>
      <x:c r="H7" s="31" t="n">
        <x:f>'Revenue Model'!H16</x:f>
        <x:v>18.9</x:v>
      </x:c>
      <x:c r="I7" s="31" t="n">
        <x:f>'Revenue Model'!I16</x:f>
        <x:v>290.39808</x:v>
      </x:c>
      <x:c r="J7" s="31" t="n">
        <x:f>'Revenue Model'!J16</x:f>
        <x:v>508.950288</x:v>
      </x:c>
      <x:c r="K7" s="31" t="n">
        <x:f>'Revenue Model'!K16</x:f>
        <x:v>714.18572568</x:v>
      </x:c>
      <x:c r="L7" s="31" t="n">
        <x:f>'Revenue Model'!L16</x:f>
        <x:v>1119.4174445254912</x:v>
      </x:c>
      <x:c r="M7" s="31" t="n">
        <x:f>'Revenue Model'!M16</x:f>
        <x:v>2191.3697380960434</x:v>
      </x:c>
      <x:c r="N7" s="31" t="n">
        <x:f>'Revenue Model'!N16</x:f>
        <x:v>3516.8232197031193</x:v>
      </x:c>
      <x:c r="O7" s="31" t="n">
        <x:f>'Revenue Model'!O16</x:f>
        <x:v>5551.266066719994</x:v>
      </x:c>
      <x:c r="P7" s="31" t="n">
        <x:f>'Revenue Model'!P16</x:f>
        <x:v>8373.251882155451</x:v>
      </x:c>
      <x:c r="Q7" s="31" t="n">
        <x:f>'Revenue Model'!Q16</x:f>
        <x:v>12718.075270111589</x:v>
      </x:c>
      <x:c r="R7" s="31" t="n">
        <x:f>'Revenue Model'!R16</x:f>
        <x:v>17105.755963643656</x:v>
      </x:c>
      <x:c r="S7" s="31" t="n">
        <x:f>'Revenue Model'!S16</x:f>
        <x:v>22015.875059258662</x:v>
      </x:c>
      <x:c r="T7" s="31" t="n">
        <x:f>'Revenue Model'!T16</x:f>
        <x:v>27406.037249658413</x:v>
      </x:c>
      <x:c r="U7" s="31" t="n">
        <x:f>'Revenue Model'!U16</x:f>
        <x:v>33629.68895551586</x:v>
      </x:c>
      <x:c r="V7" s="31" t="n">
        <x:f>'Revenue Model'!V16</x:f>
        <x:v>39971.60793196001</x:v>
      </x:c>
      <x:c r="W7" s="31" t="n">
        <x:f>'Revenue Model'!W16</x:f>
        <x:v>46544.08207950664</x:v>
      </x:c>
      <x:c r="X7" s="31" t="n">
        <x:f>'Revenue Model'!X16</x:f>
        <x:v>53163.0432392427</x:v>
      </x:c>
    </x:row>
    <x:row r="8" ht="21" customHeight="1">
      <x:c r="A8" s="1"/>
      <x:c r="B8" s="1"/>
      <x:c r="C8" s="1" t="str">
        <x:v>Cost of goods sold</x:v>
      </x:c>
      <x:c r="D8" s="31" t="n">
        <x:f>'Revenue Model'!D17</x:f>
        <x:v>0</x:v>
      </x:c>
      <x:c r="E8" s="31" t="n">
        <x:f>'Revenue Model'!E17</x:f>
        <x:v>0</x:v>
      </x:c>
      <x:c r="F8" s="31" t="n">
        <x:f>'Revenue Model'!F17</x:f>
        <x:v>0</x:v>
      </x:c>
      <x:c r="G8" s="31" t="n">
        <x:f>'Revenue Model'!G17</x:f>
        <x:v>0</x:v>
      </x:c>
      <x:c r="H8" s="31" t="n">
        <x:f>'Revenue Model'!H17</x:f>
        <x:v>-22.349249999999998</x:v>
      </x:c>
      <x:c r="I8" s="31" t="n">
        <x:f>'Revenue Model'!I17</x:f>
        <x:v>-286.6319798999999</x:v>
      </x:c>
      <x:c r="J8" s="31" t="n">
        <x:f>'Revenue Model'!J17</x:f>
        <x:v>-502.34983895249997</x:v>
      </x:c>
      <x:c r="K8" s="31" t="n">
        <x:f>'Revenue Model'!K17</x:f>
        <x:v>-411.99589050165</x:v>
      </x:c>
      <x:c r="L8" s="31" t="n">
        <x:f>'Revenue Model'!L17</x:f>
        <x:v>-645.7639383106427</x:v>
      </x:c>
      <x:c r="M8" s="31" t="n">
        <x:f>'Revenue Model'!M17</x:f>
        <x:v>-1005.6744345440484</x:v>
      </x:c>
      <x:c r="N8" s="31" t="n">
        <x:f>'Revenue Model'!N17</x:f>
        <x:v>-1630.7584429395338</x:v>
      </x:c>
      <x:c r="O8" s="31" t="n">
        <x:f>'Revenue Model'!O17</x:f>
        <x:v>-1766.629573807164</x:v>
      </x:c>
      <x:c r="P8" s="31" t="n">
        <x:f>'Revenue Model'!P17</x:f>
        <x:v>-2664.6956254958495</x:v>
      </x:c>
      <x:c r="Q8" s="31" t="n">
        <x:f>'Revenue Model'!Q17</x:f>
        <x:v>-3717.299682426324</x:v>
      </x:c>
      <x:c r="R8" s="31" t="n">
        <x:f>'Revenue Model'!R17</x:f>
        <x:v>-4999.751916923264</x:v>
      </x:c>
      <x:c r="S8" s="31" t="n">
        <x:f>'Revenue Model'!S17</x:f>
        <x:v>-5319.531136006968</x:v>
      </x:c>
      <x:c r="T8" s="31" t="n">
        <x:f>'Revenue Model'!T17</x:f>
        <x:v>-6621.915689097928</x:v>
      </x:c>
      <x:c r="U8" s="31" t="n">
        <x:f>'Revenue Model'!U17</x:f>
        <x:v>-7964.682755840751</x:v>
      </x:c>
      <x:c r="V8" s="31" t="n">
        <x:f>'Revenue Model'!V17</x:f>
        <x:v>-9466.670263885757</x:v>
      </x:c>
      <x:c r="W8" s="31" t="n">
        <x:f>'Revenue Model'!W17</x:f>
        <x:v>-11023.261274151044</x:v>
      </x:c>
      <x:c r="X8" s="31" t="n">
        <x:f>'Revenue Model'!X17</x:f>
        <x:v>-12590.862029550919</x:v>
      </x:c>
    </x:row>
    <x:row r="9" ht="21" customHeight="1">
      <x:c r="A9" s="1"/>
      <x:c r="B9" s="1"/>
      <x:c r="C9" s="20" t="str">
        <x:v>Gross profit</x:v>
      </x:c>
      <x:c r="D9" s="41" t="n">
        <x:f>'Revenue Model'!D18</x:f>
        <x:v>0</x:v>
      </x:c>
      <x:c r="E9" s="41" t="n">
        <x:f>'Revenue Model'!E18</x:f>
        <x:v>0</x:v>
      </x:c>
      <x:c r="F9" s="41" t="n">
        <x:f>'Revenue Model'!F18</x:f>
        <x:v>0</x:v>
      </x:c>
      <x:c r="G9" s="41" t="n">
        <x:f>'Revenue Model'!G18</x:f>
        <x:v>0</x:v>
      </x:c>
      <x:c r="H9" s="41" t="n">
        <x:f>'Revenue Model'!H18</x:f>
        <x:v>-3.4492499999999993</x:v>
      </x:c>
      <x:c r="I9" s="41" t="n">
        <x:f>'Revenue Model'!I18</x:f>
        <x:v>3.766100100000074</x:v>
      </x:c>
      <x:c r="J9" s="41" t="n">
        <x:f>'Revenue Model'!J18</x:f>
        <x:v>6.600449047500035</x:v>
      </x:c>
      <x:c r="K9" s="41" t="n">
        <x:f>'Revenue Model'!K18</x:f>
        <x:v>302.18983517835</x:v>
      </x:c>
      <x:c r="L9" s="41" t="n">
        <x:f>'Revenue Model'!L18</x:f>
        <x:v>473.65350621484845</x:v>
      </x:c>
      <x:c r="M9" s="41" t="n">
        <x:f>'Revenue Model'!M18</x:f>
        <x:v>1185.695303551995</x:v>
      </x:c>
      <x:c r="N9" s="41" t="n">
        <x:f>'Revenue Model'!N18</x:f>
        <x:v>1886.0647767635855</x:v>
      </x:c>
      <x:c r="O9" s="41" t="n">
        <x:f>'Revenue Model'!O18</x:f>
        <x:v>3784.6364929128304</x:v>
      </x:c>
      <x:c r="P9" s="41" t="n">
        <x:f>'Revenue Model'!P18</x:f>
        <x:v>5708.556256659602</x:v>
      </x:c>
      <x:c r="Q9" s="41" t="n">
        <x:f>'Revenue Model'!Q18</x:f>
        <x:v>9000.775587685264</x:v>
      </x:c>
      <x:c r="R9" s="41" t="n">
        <x:f>'Revenue Model'!R18</x:f>
        <x:v>12106.004046720393</x:v>
      </x:c>
      <x:c r="S9" s="41" t="n">
        <x:f>'Revenue Model'!S18</x:f>
        <x:v>16696.343923251694</x:v>
      </x:c>
      <x:c r="T9" s="41" t="n">
        <x:f>'Revenue Model'!T18</x:f>
        <x:v>20784.121560560485</x:v>
      </x:c>
      <x:c r="U9" s="41" t="n">
        <x:f>'Revenue Model'!U18</x:f>
        <x:v>25665.00619967511</x:v>
      </x:c>
      <x:c r="V9" s="41" t="n">
        <x:f>'Revenue Model'!V18</x:f>
        <x:v>30504.937668074253</x:v>
      </x:c>
      <x:c r="W9" s="41" t="n">
        <x:f>'Revenue Model'!W18</x:f>
        <x:v>35520.82080535559</x:v>
      </x:c>
      <x:c r="X9" s="41" t="n">
        <x:f>'Revenue Model'!X18</x:f>
        <x:v>40572.181209691786</x:v>
      </x:c>
    </x:row>
    <x:row r="10" ht="21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21" customHeight="1">
      <x:c r="A11" s="1"/>
      <x:c r="B11" s="1"/>
      <x:c r="C11" s="1" t="str">
        <x:v>Pre-seed development and operations</x:v>
      </x:c>
      <x:c r="D11" s="31" t="n">
        <x:f>-('Use of Funds'!E31-'Use of Funds'!E24)</x:f>
        <x:v>-123</x:v>
      </x:c>
      <x:c r="E11" s="31" t="n">
        <x:f>-('Use of Funds'!F31-'Use of Funds'!F24)</x:f>
        <x:v>-121</x:v>
      </x:c>
      <x:c r="F11" s="31" t="n">
        <x:f>-('Use of Funds'!G31-'Use of Funds'!G24)</x:f>
        <x:v>-205</x:v>
      </x:c>
      <x:c r="G11" s="31" t="n">
        <x:f>-('Use of Funds'!H31-'Use of Funds'!H24)</x:f>
        <x:v>-260</x:v>
      </x:c>
      <x:c r="H11" s="31" t="n">
        <x:f>-('Use of Funds'!I31-'Use of Funds'!I24)</x:f>
        <x:v>-210</x:v>
      </x:c>
      <x:c r="I11" s="2" t="n">
        <x:f>0</x:f>
        <x:v>0</x:v>
      </x:c>
      <x:c r="J11" s="2" t="n">
        <x:f>0</x:f>
        <x:v>0</x:v>
      </x:c>
      <x:c r="K11" s="2" t="n">
        <x:f>0</x:f>
        <x:v>0</x:v>
      </x:c>
      <x:c r="L11" s="2" t="n">
        <x:f>0</x:f>
        <x:v>0</x:v>
      </x:c>
      <x:c r="M11" s="2" t="n">
        <x:f>0</x:f>
        <x:v>0</x:v>
      </x:c>
      <x:c r="N11" s="2" t="n">
        <x:f>0</x:f>
        <x:v>0</x:v>
      </x:c>
      <x:c r="O11" s="2" t="n">
        <x:f>0</x:f>
        <x:v>0</x:v>
      </x:c>
      <x:c r="P11" s="2" t="n">
        <x:f>0</x:f>
        <x:v>0</x:v>
      </x:c>
      <x:c r="Q11" s="2" t="n">
        <x:f>0</x:f>
        <x:v>0</x:v>
      </x:c>
      <x:c r="R11" s="2" t="n">
        <x:f>0</x:f>
        <x:v>0</x:v>
      </x:c>
      <x:c r="S11" s="2" t="n">
        <x:f>0</x:f>
        <x:v>0</x:v>
      </x:c>
      <x:c r="T11" s="2" t="n">
        <x:f>0</x:f>
        <x:v>0</x:v>
      </x:c>
      <x:c r="U11" s="2" t="n">
        <x:f>0</x:f>
        <x:v>0</x:v>
      </x:c>
      <x:c r="V11" s="2" t="n">
        <x:f>0</x:f>
        <x:v>0</x:v>
      </x:c>
      <x:c r="W11" s="2" t="n">
        <x:f>0</x:f>
        <x:v>0</x:v>
      </x:c>
      <x:c r="X11" s="2" t="n">
        <x:f>0</x:f>
        <x:v>0</x:v>
      </x:c>
    </x:row>
    <x:row r="12" ht="21" customHeight="1">
      <x:c r="A12" s="1"/>
      <x:c r="B12" s="1"/>
      <x:c r="C12" s="1" t="str">
        <x:v>R&amp;D, clinical and regulatory expansion</x:v>
      </x:c>
      <x:c r="D12" s="2" t="n">
        <x:f>-D74</x:f>
        <x:v>0</x:v>
      </x:c>
      <x:c r="E12" s="2" t="n">
        <x:f>-E74</x:f>
        <x:v>0</x:v>
      </x:c>
      <x:c r="F12" s="2" t="n">
        <x:f>-F74</x:f>
        <x:v>0</x:v>
      </x:c>
      <x:c r="G12" s="2" t="n">
        <x:f>-G74</x:f>
        <x:v>0</x:v>
      </x:c>
      <x:c r="H12" s="2" t="n">
        <x:f>-H74</x:f>
        <x:v>0</x:v>
      </x:c>
      <x:c r="I12" s="2" t="n">
        <x:f>-I74</x:f>
        <x:v>0</x:v>
      </x:c>
      <x:c r="J12" s="2" t="n">
        <x:f>-J74</x:f>
        <x:v>0</x:v>
      </x:c>
      <x:c r="K12" s="2" t="n">
        <x:f>-K74</x:f>
        <x:v>-215</x:v>
      </x:c>
      <x:c r="L12" s="2" t="n">
        <x:f>-L74</x:f>
        <x:v>-320</x:v>
      </x:c>
      <x:c r="M12" s="2" t="n">
        <x:f>-M74</x:f>
        <x:v>-380</x:v>
      </x:c>
      <x:c r="N12" s="2" t="n">
        <x:f>-N74</x:f>
        <x:v>-445</x:v>
      </x:c>
      <x:c r="O12" s="2" t="n">
        <x:f>-O74</x:f>
        <x:v>-475</x:v>
      </x:c>
      <x:c r="P12" s="2" t="n">
        <x:f>-P74</x:f>
        <x:v>-500</x:v>
      </x:c>
      <x:c r="Q12" s="2" t="n">
        <x:f>-Q74</x:f>
        <x:v>-520</x:v>
      </x:c>
      <x:c r="R12" s="2" t="n">
        <x:f>-R74</x:f>
        <x:v>-570</x:v>
      </x:c>
      <x:c r="S12" s="2" t="n">
        <x:f>-S74</x:f>
        <x:v>-600</x:v>
      </x:c>
      <x:c r="T12" s="2" t="n">
        <x:f>-T74</x:f>
        <x:v>-620</x:v>
      </x:c>
      <x:c r="U12" s="2" t="n">
        <x:f>-U74</x:f>
        <x:v>-610</x:v>
      </x:c>
      <x:c r="V12" s="2" t="n">
        <x:f>-V74</x:f>
        <x:v>-640</x:v>
      </x:c>
      <x:c r="W12" s="2" t="n">
        <x:f>-W74</x:f>
        <x:v>-665</x:v>
      </x:c>
      <x:c r="X12" s="2" t="n">
        <x:f>-X74</x:f>
        <x:v>-685</x:v>
      </x:c>
    </x:row>
    <x:row r="13" ht="21" customHeight="1">
      <x:c r="A13" s="1"/>
      <x:c r="B13" s="1"/>
      <x:c r="C13" s="1" t="str">
        <x:v>Outsourced operations, G&amp;A and IP</x:v>
      </x:c>
      <x:c r="D13" s="2" t="n">
        <x:f>-D75</x:f>
        <x:v>0</x:v>
      </x:c>
      <x:c r="E13" s="2" t="n">
        <x:f>-E75</x:f>
        <x:v>0</x:v>
      </x:c>
      <x:c r="F13" s="2" t="n">
        <x:f>-F75</x:f>
        <x:v>0</x:v>
      </x:c>
      <x:c r="G13" s="2" t="n">
        <x:f>-G75</x:f>
        <x:v>0</x:v>
      </x:c>
      <x:c r="H13" s="2" t="n">
        <x:f>-H75</x:f>
        <x:v>0</x:v>
      </x:c>
      <x:c r="I13" s="2" t="n">
        <x:f>-I75</x:f>
        <x:v>-43</x:v>
      </x:c>
      <x:c r="J13" s="2" t="n">
        <x:f>-J75</x:f>
        <x:v>-49</x:v>
      </x:c>
      <x:c r="K13" s="2" t="n">
        <x:f>-K75</x:f>
        <x:v>-191</x:v>
      </x:c>
      <x:c r="L13" s="2" t="n">
        <x:f>-L75</x:f>
        <x:v>-230</x:v>
      </x:c>
      <x:c r="M13" s="2" t="n">
        <x:f>-M75</x:f>
        <x:v>-299</x:v>
      </x:c>
      <x:c r="N13" s="2" t="n">
        <x:f>-N75</x:f>
        <x:v>-314</x:v>
      </x:c>
      <x:c r="O13" s="2" t="n">
        <x:f>-O75</x:f>
        <x:v>-337</x:v>
      </x:c>
      <x:c r="P13" s="2" t="n">
        <x:f>-P75</x:f>
        <x:v>-352</x:v>
      </x:c>
      <x:c r="Q13" s="2" t="n">
        <x:f>-Q75</x:f>
        <x:v>-546</x:v>
      </x:c>
      <x:c r="R13" s="2" t="n">
        <x:f>-R75</x:f>
        <x:v>-566</x:v>
      </x:c>
      <x:c r="S13" s="2" t="n">
        <x:f>-S75</x:f>
        <x:v>-595</x:v>
      </x:c>
      <x:c r="T13" s="2" t="n">
        <x:f>-T75</x:f>
        <x:v>-615</x:v>
      </x:c>
      <x:c r="U13" s="2" t="n">
        <x:f>-U75</x:f>
        <x:v>-705</x:v>
      </x:c>
      <x:c r="V13" s="2" t="n">
        <x:f>-V75</x:f>
        <x:v>-725</x:v>
      </x:c>
      <x:c r="W13" s="2" t="n">
        <x:f>-W75</x:f>
        <x:v>-755</x:v>
      </x:c>
      <x:c r="X13" s="2" t="n">
        <x:f>-X75</x:f>
        <x:v>-775</x:v>
      </x:c>
    </x:row>
    <x:row r="14" ht="21" customHeight="1">
      <x:c r="A14" s="1"/>
      <x:c r="B14" s="1"/>
      <x:c r="C14" s="1" t="str">
        <x:v>Sales and marketing</x:v>
      </x:c>
      <x:c r="D14" s="2" t="n">
        <x:f>-D76</x:f>
        <x:v>0</x:v>
      </x:c>
      <x:c r="E14" s="2" t="n">
        <x:f>-E76</x:f>
        <x:v>0</x:v>
      </x:c>
      <x:c r="F14" s="2" t="n">
        <x:f>-F76</x:f>
        <x:v>0</x:v>
      </x:c>
      <x:c r="G14" s="2" t="n">
        <x:f>-G76</x:f>
        <x:v>0</x:v>
      </x:c>
      <x:c r="H14" s="2" t="n">
        <x:f>-H76</x:f>
        <x:v>0</x:v>
      </x:c>
      <x:c r="I14" s="2" t="n">
        <x:f>-I76</x:f>
        <x:v>-9</x:v>
      </x:c>
      <x:c r="J14" s="2" t="n">
        <x:f>-J76</x:f>
        <x:v>-11</x:v>
      </x:c>
      <x:c r="K14" s="2" t="n">
        <x:f>-K76</x:f>
        <x:v>-110</x:v>
      </x:c>
      <x:c r="L14" s="2" t="n">
        <x:f>-L76</x:f>
        <x:v>-170</x:v>
      </x:c>
      <x:c r="M14" s="2" t="n">
        <x:f>-M76</x:f>
        <x:v>-240</x:v>
      </x:c>
      <x:c r="N14" s="2" t="n">
        <x:f>-N76</x:f>
        <x:v>-280</x:v>
      </x:c>
      <x:c r="O14" s="2" t="n">
        <x:f>-O76</x:f>
        <x:v>-315</x:v>
      </x:c>
      <x:c r="P14" s="2" t="n">
        <x:f>-P76</x:f>
        <x:v>-350</x:v>
      </x:c>
      <x:c r="Q14" s="2" t="n">
        <x:f>-Q76</x:f>
        <x:v>-1250</x:v>
      </x:c>
      <x:c r="R14" s="2" t="n">
        <x:f>-R76</x:f>
        <x:v>-1400</x:v>
      </x:c>
      <x:c r="S14" s="2" t="n">
        <x:f>-S76</x:f>
        <x:v>-1550</x:v>
      </x:c>
      <x:c r="T14" s="2" t="n">
        <x:f>-T76</x:f>
        <x:v>-1700</x:v>
      </x:c>
      <x:c r="U14" s="2" t="n">
        <x:f>-U76</x:f>
        <x:v>-2150</x:v>
      </x:c>
      <x:c r="V14" s="2" t="n">
        <x:f>-V76</x:f>
        <x:v>-2300</x:v>
      </x:c>
      <x:c r="W14" s="2" t="n">
        <x:f>-W76</x:f>
        <x:v>-2450</x:v>
      </x:c>
      <x:c r="X14" s="2" t="n">
        <x:f>-X76</x:f>
        <x:v>-2600</x:v>
      </x:c>
    </x:row>
    <x:row r="15" ht="21" customHeight="1">
      <x:c r="A15" s="1"/>
      <x:c r="B15" s="1"/>
      <x:c r="C15" s="1" t="str">
        <x:v>Personnel</x:v>
      </x:c>
      <x:c r="D15" s="2" t="n">
        <x:f>-SUMPRODUCT(D80:D87,D91:D98)/4</x:f>
        <x:v>0</x:v>
      </x:c>
      <x:c r="E15" s="2" t="n">
        <x:f>-SUMPRODUCT(E80:E87,E91:E98)/4</x:f>
        <x:v>0</x:v>
      </x:c>
      <x:c r="F15" s="2" t="n">
        <x:f>-SUMPRODUCT(F80:F87,E91:E98)/4</x:f>
        <x:v>0</x:v>
      </x:c>
      <x:c r="G15" s="2" t="n">
        <x:f>-SUMPRODUCT(G80:G87,E91:E98)/4</x:f>
        <x:v>0</x:v>
      </x:c>
      <x:c r="H15" s="2" t="n">
        <x:f>-SUMPRODUCT(H80:H87,E91:E98)/4</x:f>
        <x:v>0</x:v>
      </x:c>
      <x:c r="I15" s="2" t="n">
        <x:f>-SUMPRODUCT(I80:I87,F91:F98)/4</x:f>
        <x:v>0</x:v>
      </x:c>
      <x:c r="J15" s="2" t="n">
        <x:f>-SUMPRODUCT(J80:J87,F91:F98)/4</x:f>
        <x:v>-142.5</x:v>
      </x:c>
      <x:c r="K15" s="2" t="n">
        <x:f>-SUMPRODUCT(K80:K87,F91:F98)/4</x:f>
        <x:v>-456.25</x:v>
      </x:c>
      <x:c r="L15" s="2" t="n">
        <x:f>-SUMPRODUCT(L80:L87,F91:F98)/4</x:f>
        <x:v>-858.75</x:v>
      </x:c>
      <x:c r="M15" s="2" t="n">
        <x:f>-SUMPRODUCT(M80:M87,G91:G98)/4</x:f>
        <x:v>-1166.25</x:v>
      </x:c>
      <x:c r="N15" s="2" t="n">
        <x:f>-SUMPRODUCT(N80:N87,G91:G98)/4</x:f>
        <x:v>-1653.75</x:v>
      </x:c>
      <x:c r="O15" s="2" t="n">
        <x:f>-SUMPRODUCT(O80:O87,G91:G98)/4</x:f>
        <x:v>-1923.75</x:v>
      </x:c>
      <x:c r="P15" s="2" t="n">
        <x:f>-SUMPRODUCT(P80:P87,G91:G98)/4</x:f>
        <x:v>-2232.5</x:v>
      </x:c>
      <x:c r="Q15" s="2" t="n">
        <x:f>-SUMPRODUCT(Q80:Q87,H91:H98)/4</x:f>
        <x:v>-2706.25</x:v>
      </x:c>
      <x:c r="R15" s="2" t="n">
        <x:f>-SUMPRODUCT(R80:R87,H91:H98)/4</x:f>
        <x:v>-3095</x:v>
      </x:c>
      <x:c r="S15" s="2" t="n">
        <x:f>-SUMPRODUCT(S80:S87,H91:H98)/4</x:f>
        <x:v>-3531.25</x:v>
      </x:c>
      <x:c r="T15" s="2" t="n">
        <x:f>-SUMPRODUCT(T80:T87,H91:H98)/4</x:f>
        <x:v>-3826.25</x:v>
      </x:c>
      <x:c r="U15" s="2" t="n">
        <x:f>-SUMPRODUCT(U80:U87,I91:I98)/4</x:f>
        <x:v>-4215</x:v>
      </x:c>
      <x:c r="V15" s="2" t="n">
        <x:f>-SUMPRODUCT(V80:V87,I91:I98)/4</x:f>
        <x:v>-4651.25</x:v>
      </x:c>
      <x:c r="W15" s="2" t="n">
        <x:f>-SUMPRODUCT(W80:W87,I91:I98)/4</x:f>
        <x:v>-4946.25</x:v>
      </x:c>
      <x:c r="X15" s="2" t="n">
        <x:f>-SUMPRODUCT(X80:X87,I91:I98)/4</x:f>
        <x:v>-5287.5</x:v>
      </x:c>
    </x:row>
    <x:row r="16" ht="21" customHeight="1">
      <x:c r="A16" s="1"/>
      <x:c r="B16" s="1"/>
      <x:c r="C16" s="1" t="str">
        <x:v>Account onboarding and evaluation</x:v>
      </x:c>
      <x:c r="D16" s="31" t="n">
        <x:f>-('Revenue Model'!D55*'Revenue Model'!D111+'Revenue Model'!D60*('Revenue Model'!D20+'Revenue Model'!D108+'Revenue Model'!D109)/1000)</x:f>
        <x:v>0</x:v>
      </x:c>
      <x:c r="E16" s="31" t="n">
        <x:f>-('Revenue Model'!E55*'Revenue Model'!E111+'Revenue Model'!E60*('Revenue Model'!E20+'Revenue Model'!E108+'Revenue Model'!E109)/1000)</x:f>
        <x:v>0</x:v>
      </x:c>
      <x:c r="F16" s="31" t="n">
        <x:f>-('Revenue Model'!F55*'Revenue Model'!E111+'Revenue Model'!F60*('Revenue Model'!F20+'Revenue Model'!E108+'Revenue Model'!E109)/1000)</x:f>
        <x:v>0</x:v>
      </x:c>
      <x:c r="G16" s="31" t="n">
        <x:f>-('Revenue Model'!G55*'Revenue Model'!E111+'Revenue Model'!G60*('Revenue Model'!G20+'Revenue Model'!E108+'Revenue Model'!E109)/1000)</x:f>
        <x:v>0</x:v>
      </x:c>
      <x:c r="H16" s="31" t="n">
        <x:f>-('Revenue Model'!H55*'Revenue Model'!E111+'Revenue Model'!H60*('Revenue Model'!H20+'Revenue Model'!E108+'Revenue Model'!E109)/1000)</x:f>
        <x:v>-11.822</x:v>
      </x:c>
      <x:c r="I16" s="31" t="n">
        <x:f>-('Revenue Model'!I55*'Revenue Model'!F111+'Revenue Model'!I60*('Revenue Model'!I20+'Revenue Model'!F108+'Revenue Model'!F109)/1000)</x:f>
        <x:v>-9.376233333333333</x:v>
      </x:c>
      <x:c r="J16" s="31" t="n">
        <x:f>-('Revenue Model'!J55*'Revenue Model'!F111+'Revenue Model'!J60*('Revenue Model'!J20+'Revenue Model'!F108+'Revenue Model'!F109)/1000)</x:f>
        <x:v>-22.672283333333333</x:v>
      </x:c>
      <x:c r="K16" s="31" t="n">
        <x:f>-('Revenue Model'!K55*'Revenue Model'!F111+'Revenue Model'!K60*('Revenue Model'!K20+'Revenue Model'!F108+'Revenue Model'!F109)/1000)</x:f>
        <x:v>-28.40562738095238</x:v>
      </x:c>
      <x:c r="L16" s="31" t="n">
        <x:f>-('Revenue Model'!L55*'Revenue Model'!F111+'Revenue Model'!L60*('Revenue Model'!L20+'Revenue Model'!F108+'Revenue Model'!F109)/1000)</x:f>
        <x:v>-43.13910389610389</x:v>
      </x:c>
      <x:c r="M16" s="31" t="n">
        <x:f>-('Revenue Model'!M55*'Revenue Model'!G111+'Revenue Model'!M60*('Revenue Model'!M20+'Revenue Model'!G108+'Revenue Model'!G109)/1000)</x:f>
        <x:v>-66.8743895974672</x:v>
      </x:c>
      <x:c r="N16" s="31" t="n">
        <x:f>-('Revenue Model'!N55*'Revenue Model'!G111+'Revenue Model'!N60*('Revenue Model'!N20+'Revenue Model'!G108+'Revenue Model'!G109)/1000)</x:f>
        <x:v>-102.92498100407055</x:v>
      </x:c>
      <x:c r="O16" s="31" t="n">
        <x:f>-('Revenue Model'!O55*'Revenue Model'!G111+'Revenue Model'!O60*('Revenue Model'!O20+'Revenue Model'!G108+'Revenue Model'!G109)/1000)</x:f>
        <x:v>-117.20607462686569</x:v>
      </x:c>
      <x:c r="P16" s="31" t="n">
        <x:f>-('Revenue Model'!P55*'Revenue Model'!G111+'Revenue Model'!P60*('Revenue Model'!P20+'Revenue Model'!G108+'Revenue Model'!G109)/1000)</x:f>
        <x:v>-140.63602083333333</x:v>
      </x:c>
      <x:c r="Q16" s="31" t="n">
        <x:f>-('Revenue Model'!Q55*'Revenue Model'!H111+'Revenue Model'!Q60*('Revenue Model'!Q20+'Revenue Model'!H108+'Revenue Model'!H109)/1000)</x:f>
        <x:v>-152.11182916666667</x:v>
      </x:c>
      <x:c r="R16" s="31" t="n">
        <x:f>-('Revenue Model'!R55*'Revenue Model'!H111+'Revenue Model'!R60*('Revenue Model'!R20+'Revenue Model'!H108+'Revenue Model'!H109)/1000)</x:f>
        <x:v>-169.5708</x:v>
      </x:c>
      <x:c r="S16" s="31" t="n">
        <x:f>-('Revenue Model'!S55*'Revenue Model'!H111+'Revenue Model'!S60*('Revenue Model'!S20+'Revenue Model'!H108+'Revenue Model'!H109)/1000)</x:f>
        <x:v>-177.8077</x:v>
      </x:c>
      <x:c r="T16" s="31" t="n">
        <x:f>-('Revenue Model'!T55*'Revenue Model'!H111+'Revenue Model'!T60*('Revenue Model'!T20+'Revenue Model'!H108+'Revenue Model'!H109)/1000)</x:f>
        <x:v>-194.3446</x:v>
      </x:c>
      <x:c r="U16" s="31" t="n">
        <x:f>-('Revenue Model'!U55*'Revenue Model'!I111+'Revenue Model'!U60*('Revenue Model'!U20+'Revenue Model'!I108+'Revenue Model'!I109)/1000)</x:f>
        <x:v>-197.3355</x:v>
      </x:c>
      <x:c r="V16" s="31" t="n">
        <x:f>-('Revenue Model'!V55*'Revenue Model'!I111+'Revenue Model'!V60*('Revenue Model'!V20+'Revenue Model'!I108+'Revenue Model'!I109)/1000)</x:f>
        <x:v>-204.843</x:v>
      </x:c>
      <x:c r="W16" s="31" t="n">
        <x:f>-('Revenue Model'!W55*'Revenue Model'!I111+'Revenue Model'!W60*('Revenue Model'!W20+'Revenue Model'!I108+'Revenue Model'!I109)/1000)</x:f>
        <x:v>-207.9645</x:v>
      </x:c>
      <x:c r="X16" s="31" t="n">
        <x:f>-('Revenue Model'!X55*'Revenue Model'!I111+'Revenue Model'!X60*('Revenue Model'!X20+'Revenue Model'!I108+'Revenue Model'!I109)/1000)</x:f>
        <x:v>-208.56449999999998</x:v>
      </x:c>
    </x:row>
    <x:row r="17" ht="21" customHeight="1">
      <x:c r="A17" s="1"/>
      <x:c r="B17" s="1"/>
      <x:c r="C17" s="1" t="str">
        <x:v>UCLA milestones</x:v>
      </x:c>
      <x:c r="D17" s="31" t="n">
        <x:f>-(IF(1=$D$104,$D$112,0)+IF(1='Revenue Model'!$D$75,SUM($D$113:$D$114),0))</x:f>
        <x:v>0</x:v>
      </x:c>
      <x:c r="E17" s="31" t="n">
        <x:f>-(IF(2=$D$104,$D$112,0)+IF(2='Revenue Model'!$D$75,SUM($D$113:$D$114),0))</x:f>
        <x:v>0</x:v>
      </x:c>
      <x:c r="F17" s="31" t="n">
        <x:f>-(IF(3=$D$104,$D$112,0)+IF(3='Revenue Model'!$D$75,SUM($D$113:$D$114),0))</x:f>
        <x:v>0</x:v>
      </x:c>
      <x:c r="G17" s="31" t="n">
        <x:f>-(IF(4=$D$104,$D$112,0)+IF(4='Revenue Model'!$D$75,SUM($D$113:$D$114),0))</x:f>
        <x:v>-50</x:v>
      </x:c>
      <x:c r="H17" s="31" t="n">
        <x:f>-(IF(5=$D$104,$D$112,0)+IF(5='Revenue Model'!$D$75,SUM($D$113:$D$114),0))</x:f>
        <x:v>-150</x:v>
      </x:c>
      <x:c r="I17" s="31" t="n">
        <x:f>-(IF(6=$D$104,$D$112,0)+IF(6='Revenue Model'!$D$75,SUM($D$113:$D$114),0))</x:f>
        <x:v>0</x:v>
      </x:c>
      <x:c r="J17" s="31" t="n">
        <x:f>-(IF(7=$D$104,$D$112,0)+IF(7='Revenue Model'!$D$75,SUM($D$113:$D$114),0))</x:f>
        <x:v>0</x:v>
      </x:c>
      <x:c r="K17" s="31" t="n">
        <x:f>-(IF(8=$D$104,$D$112,0)+IF(8='Revenue Model'!$D$75,SUM($D$113:$D$114),0))</x:f>
        <x:v>0</x:v>
      </x:c>
      <x:c r="L17" s="31" t="n">
        <x:f>-(IF(9=$D$104,$D$112,0)+IF(9='Revenue Model'!$D$75,SUM($D$113:$D$114),0))</x:f>
        <x:v>0</x:v>
      </x:c>
      <x:c r="M17" s="31" t="n">
        <x:f>-(IF(10=$D$104,$D$112,0)+IF(10='Revenue Model'!$D$75,SUM($D$113:$D$114),0))</x:f>
        <x:v>0</x:v>
      </x:c>
      <x:c r="N17" s="31" t="n">
        <x:f>-(IF(11=$D$104,$D$112,0)+IF(11='Revenue Model'!$D$75,SUM($D$113:$D$114),0))</x:f>
        <x:v>0</x:v>
      </x:c>
      <x:c r="O17" s="31" t="n">
        <x:f>-(IF(12=$D$104,$D$112,0)+IF(12='Revenue Model'!$D$75,SUM($D$113:$D$114),0))</x:f>
        <x:v>0</x:v>
      </x:c>
      <x:c r="P17" s="31" t="n">
        <x:f>-(IF(13=$D$104,$D$112,0)+IF(13='Revenue Model'!$D$75,SUM($D$113:$D$114),0))</x:f>
        <x:v>0</x:v>
      </x:c>
      <x:c r="Q17" s="31" t="n">
        <x:f>-(IF(14=$D$104,$D$112,0)+IF(14='Revenue Model'!$D$75,SUM($D$113:$D$114),0))</x:f>
        <x:v>0</x:v>
      </x:c>
      <x:c r="R17" s="31" t="n">
        <x:f>-(IF(15=$D$104,$D$112,0)+IF(15='Revenue Model'!$D$75,SUM($D$113:$D$114),0))</x:f>
        <x:v>0</x:v>
      </x:c>
      <x:c r="S17" s="31" t="n">
        <x:f>-(IF(16=$D$104,$D$112,0)+IF(16='Revenue Model'!$D$75,SUM($D$113:$D$114),0))</x:f>
        <x:v>0</x:v>
      </x:c>
      <x:c r="T17" s="31" t="n">
        <x:f>-(IF(17=$D$104,$D$112,0)+IF(17='Revenue Model'!$D$75,SUM($D$113:$D$114),0))</x:f>
        <x:v>0</x:v>
      </x:c>
      <x:c r="U17" s="31" t="n">
        <x:f>-(IF(18=$D$104,$D$112,0)+IF(18='Revenue Model'!$D$75,SUM($D$113:$D$114),0))</x:f>
        <x:v>0</x:v>
      </x:c>
      <x:c r="V17" s="31" t="n">
        <x:f>-(IF(19=$D$104,$D$112,0)+IF(19='Revenue Model'!$D$75,SUM($D$113:$D$114),0))</x:f>
        <x:v>0</x:v>
      </x:c>
      <x:c r="W17" s="31" t="n">
        <x:f>-(IF(20=$D$104,$D$112,0)+IF(20='Revenue Model'!$D$75,SUM($D$113:$D$114),0))</x:f>
        <x:v>0</x:v>
      </x:c>
      <x:c r="X17" s="31" t="n">
        <x:f>-(IF(21=$D$104,$D$112,0)+IF(21='Revenue Model'!$D$75,SUM($D$113:$D$114),0))</x:f>
        <x:v>0</x:v>
      </x:c>
    </x:row>
    <x:row r="18" ht="21" customHeight="1">
      <x:c r="A18" s="1"/>
      <x:c r="B18" s="1"/>
      <x:c r="C18" s="20" t="str">
        <x:v>Total operating expenses</x:v>
      </x:c>
      <x:c r="D18" s="22" t="n">
        <x:f>SUM(D11:D17)</x:f>
        <x:v>-123</x:v>
      </x:c>
      <x:c r="E18" s="22" t="n">
        <x:f>SUM(E11:E17)</x:f>
        <x:v>-121</x:v>
      </x:c>
      <x:c r="F18" s="22" t="n">
        <x:f>SUM(F11:F17)</x:f>
        <x:v>-205</x:v>
      </x:c>
      <x:c r="G18" s="22" t="n">
        <x:f>SUM(G11:G17)</x:f>
        <x:v>-310</x:v>
      </x:c>
      <x:c r="H18" s="22" t="n">
        <x:f>SUM(H11:H17)</x:f>
        <x:v>-371.822</x:v>
      </x:c>
      <x:c r="I18" s="22" t="n">
        <x:f>SUM(I11:I17)</x:f>
        <x:v>-61.37623333333333</x:v>
      </x:c>
      <x:c r="J18" s="22" t="n">
        <x:f>SUM(J11:J17)</x:f>
        <x:v>-225.17228333333333</x:v>
      </x:c>
      <x:c r="K18" s="22" t="n">
        <x:f>SUM(K11:K17)</x:f>
        <x:v>-1000.6556273809524</x:v>
      </x:c>
      <x:c r="L18" s="22" t="n">
        <x:f>SUM(L11:L17)</x:f>
        <x:v>-1621.889103896104</x:v>
      </x:c>
      <x:c r="M18" s="22" t="n">
        <x:f>SUM(M11:M17)</x:f>
        <x:v>-2152.124389597467</x:v>
      </x:c>
      <x:c r="N18" s="22" t="n">
        <x:f>SUM(N11:N17)</x:f>
        <x:v>-2795.6749810040706</x:v>
      </x:c>
      <x:c r="O18" s="22" t="n">
        <x:f>SUM(O11:O17)</x:f>
        <x:v>-3167.9560746268658</x:v>
      </x:c>
      <x:c r="P18" s="22" t="n">
        <x:f>SUM(P11:P17)</x:f>
        <x:v>-3575.1360208333335</x:v>
      </x:c>
      <x:c r="Q18" s="22" t="n">
        <x:f>SUM(Q11:Q17)</x:f>
        <x:v>-5174.361829166666</x:v>
      </x:c>
      <x:c r="R18" s="22" t="n">
        <x:f>SUM(R11:R17)</x:f>
        <x:v>-5800.5708</x:v>
      </x:c>
      <x:c r="S18" s="22" t="n">
        <x:f>SUM(S11:S17)</x:f>
        <x:v>-6454.0577</x:v>
      </x:c>
      <x:c r="T18" s="22" t="n">
        <x:f>SUM(T11:T17)</x:f>
        <x:v>-6955.5946</x:v>
      </x:c>
      <x:c r="U18" s="22" t="n">
        <x:f>SUM(U11:U17)</x:f>
        <x:v>-7877.3355</x:v>
      </x:c>
      <x:c r="V18" s="22" t="n">
        <x:f>SUM(V11:V17)</x:f>
        <x:v>-8521.093</x:v>
      </x:c>
      <x:c r="W18" s="22" t="n">
        <x:f>SUM(W11:W17)</x:f>
        <x:v>-9024.2145</x:v>
      </x:c>
      <x:c r="X18" s="22" t="n">
        <x:f>SUM(X11:X17)</x:f>
        <x:v>-9556.0645</x:v>
      </x:c>
    </x:row>
    <x:row r="19" ht="21" customHeight="1">
      <x:c r="A19" s="1"/>
      <x:c r="B19" s="1"/>
      <x:c r="C19" s="20" t="str">
        <x:v>EBITDA</x:v>
      </x:c>
      <x:c r="D19" s="22" t="n">
        <x:f>SUM(D9,D18)</x:f>
        <x:v>-123</x:v>
      </x:c>
      <x:c r="E19" s="22" t="n">
        <x:f>SUM(E9,E18)</x:f>
        <x:v>-121</x:v>
      </x:c>
      <x:c r="F19" s="22" t="n">
        <x:f>SUM(F9,F18)</x:f>
        <x:v>-205</x:v>
      </x:c>
      <x:c r="G19" s="22" t="n">
        <x:f>SUM(G9,G18)</x:f>
        <x:v>-310</x:v>
      </x:c>
      <x:c r="H19" s="22" t="n">
        <x:f>SUM(H9,H18)</x:f>
        <x:v>-375.27125</x:v>
      </x:c>
      <x:c r="I19" s="22" t="n">
        <x:f>SUM(I9,I18)</x:f>
        <x:v>-57.61013323333326</x:v>
      </x:c>
      <x:c r="J19" s="22" t="n">
        <x:f>SUM(J9,J18)</x:f>
        <x:v>-218.5718342858333</x:v>
      </x:c>
      <x:c r="K19" s="22" t="n">
        <x:f>SUM(K9,K18)</x:f>
        <x:v>-698.4657922026024</x:v>
      </x:c>
      <x:c r="L19" s="22" t="n">
        <x:f>SUM(L9,L18)</x:f>
        <x:v>-1148.2355976812555</x:v>
      </x:c>
      <x:c r="M19" s="22" t="n">
        <x:f>SUM(M9,M18)</x:f>
        <x:v>-966.4290860454721</x:v>
      </x:c>
      <x:c r="N19" s="22" t="n">
        <x:f>SUM(N9,N18)</x:f>
        <x:v>-909.610204240485</x:v>
      </x:c>
      <x:c r="O19" s="22" t="n">
        <x:f>SUM(O9,O18)</x:f>
        <x:v>616.6804182859646</x:v>
      </x:c>
      <x:c r="P19" s="22" t="n">
        <x:f>SUM(P9,P18)</x:f>
        <x:v>2133.4202358262683</x:v>
      </x:c>
      <x:c r="Q19" s="22" t="n">
        <x:f>SUM(Q9,Q18)</x:f>
        <x:v>3826.413758518598</x:v>
      </x:c>
      <x:c r="R19" s="22" t="n">
        <x:f>SUM(R9,R18)</x:f>
        <x:v>6305.433246720392</x:v>
      </x:c>
      <x:c r="S19" s="22" t="n">
        <x:f>SUM(S9,S18)</x:f>
        <x:v>10242.286223251693</x:v>
      </x:c>
      <x:c r="T19" s="22" t="n">
        <x:f>SUM(T9,T18)</x:f>
        <x:v>13828.526960560484</x:v>
      </x:c>
      <x:c r="U19" s="22" t="n">
        <x:f>SUM(U9,U18)</x:f>
        <x:v>17787.67069967511</x:v>
      </x:c>
      <x:c r="V19" s="22" t="n">
        <x:f>SUM(V9,V18)</x:f>
        <x:v>21983.844668074253</x:v>
      </x:c>
      <x:c r="W19" s="22" t="n">
        <x:f>SUM(W9,W18)</x:f>
        <x:v>26496.60630535559</x:v>
      </x:c>
      <x:c r="X19" s="22" t="n">
        <x:f>SUM(X9,X18)</x:f>
        <x:v>31016.116709691785</x:v>
      </x:c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21" customHeight="1">
      <x:c r="A21" s="1"/>
      <x:c r="B21" s="1"/>
      <x:c r="C21" s="1" t="str">
        <x:v>Capital expenditure and tooling</x:v>
      </x:c>
      <x:c r="D21" s="31" t="n">
        <x:f>-D77-IF(1='Revenue Model'!$D$122,'Revenue Model'!$G$122,0)-IF(1='Revenue Model'!$D$123,'Revenue Model'!$G$123,0)-IF(1='Revenue Model'!$D$124,'Revenue Model'!$G$124,0)</x:f>
        <x:v>0</x:v>
      </x:c>
      <x:c r="E21" s="31" t="n">
        <x:f>-E77-IF(2='Revenue Model'!$D$122,'Revenue Model'!$G$122,0)-IF(2='Revenue Model'!$D$123,'Revenue Model'!$G$123,0)-IF(2='Revenue Model'!$D$124,'Revenue Model'!$G$124,0)</x:f>
        <x:v>0</x:v>
      </x:c>
      <x:c r="F21" s="31" t="n">
        <x:f>-F77-IF(3='Revenue Model'!$D$122,'Revenue Model'!$G$122,0)-IF(3='Revenue Model'!$D$123,'Revenue Model'!$G$123,0)-IF(3='Revenue Model'!$D$124,'Revenue Model'!$G$124,0)</x:f>
        <x:v>0</x:v>
      </x:c>
      <x:c r="G21" s="31" t="n">
        <x:f>-G77-IF(4='Revenue Model'!$D$122,'Revenue Model'!$G$122,0)-IF(4='Revenue Model'!$D$123,'Revenue Model'!$G$123,0)-IF(4='Revenue Model'!$D$124,'Revenue Model'!$G$124,0)</x:f>
        <x:v>0</x:v>
      </x:c>
      <x:c r="H21" s="31" t="n">
        <x:f>-H77-IF(5='Revenue Model'!$D$122,'Revenue Model'!$G$122,0)-IF(5='Revenue Model'!$D$123,'Revenue Model'!$G$123,0)-IF(5='Revenue Model'!$D$124,'Revenue Model'!$G$124,0)</x:f>
        <x:v>0</x:v>
      </x:c>
      <x:c r="I21" s="31" t="n">
        <x:f>-I77-IF(6='Revenue Model'!$D$122,'Revenue Model'!$G$122,0)-IF(6='Revenue Model'!$D$123,'Revenue Model'!$G$123,0)-IF(6='Revenue Model'!$D$124,'Revenue Model'!$G$124,0)</x:f>
        <x:v>-5</x:v>
      </x:c>
      <x:c r="J21" s="31" t="n">
        <x:f>-J77-IF(7='Revenue Model'!$D$122,'Revenue Model'!$G$122,0)-IF(7='Revenue Model'!$D$123,'Revenue Model'!$G$123,0)-IF(7='Revenue Model'!$D$124,'Revenue Model'!$G$124,0)</x:f>
        <x:v>-7</x:v>
      </x:c>
      <x:c r="K21" s="31" t="n">
        <x:f>-K77-IF(8='Revenue Model'!$D$122,'Revenue Model'!$G$122,0)-IF(8='Revenue Model'!$D$123,'Revenue Model'!$G$123,0)-IF(8='Revenue Model'!$D$124,'Revenue Model'!$G$124,0)</x:f>
        <x:v>-218</x:v>
      </x:c>
      <x:c r="L21" s="31" t="n">
        <x:f>-L77-IF(9='Revenue Model'!$D$122,'Revenue Model'!$G$122,0)-IF(9='Revenue Model'!$D$123,'Revenue Model'!$G$123,0)-IF(9='Revenue Model'!$D$124,'Revenue Model'!$G$124,0)</x:f>
        <x:v>-48</x:v>
      </x:c>
      <x:c r="M21" s="31" t="n">
        <x:f>-M77-IF(10='Revenue Model'!$D$122,'Revenue Model'!$G$122,0)-IF(10='Revenue Model'!$D$123,'Revenue Model'!$G$123,0)-IF(10='Revenue Model'!$D$124,'Revenue Model'!$G$124,0)</x:f>
        <x:v>-50</x:v>
      </x:c>
      <x:c r="N21" s="31" t="n">
        <x:f>-N77-IF(11='Revenue Model'!$D$122,'Revenue Model'!$G$122,0)-IF(11='Revenue Model'!$D$123,'Revenue Model'!$G$123,0)-IF(11='Revenue Model'!$D$124,'Revenue Model'!$G$124,0)</x:f>
        <x:v>-55</x:v>
      </x:c>
      <x:c r="O21" s="31" t="n">
        <x:f>-O77-IF(12='Revenue Model'!$D$122,'Revenue Model'!$G$122,0)-IF(12='Revenue Model'!$D$123,'Revenue Model'!$G$123,0)-IF(12='Revenue Model'!$D$124,'Revenue Model'!$G$124,0)</x:f>
        <x:v>-320</x:v>
      </x:c>
      <x:c r="P21" s="31" t="n">
        <x:f>-P77-IF(13='Revenue Model'!$D$122,'Revenue Model'!$G$122,0)-IF(13='Revenue Model'!$D$123,'Revenue Model'!$G$123,0)-IF(13='Revenue Model'!$D$124,'Revenue Model'!$G$124,0)</x:f>
        <x:v>-65</x:v>
      </x:c>
      <x:c r="Q21" s="31" t="n">
        <x:f>-Q77-IF(14='Revenue Model'!$D$122,'Revenue Model'!$G$122,0)-IF(14='Revenue Model'!$D$123,'Revenue Model'!$G$123,0)-IF(14='Revenue Model'!$D$124,'Revenue Model'!$G$124,0)</x:f>
        <x:v>-105</x:v>
      </x:c>
      <x:c r="R21" s="31" t="n">
        <x:f>-R77-IF(15='Revenue Model'!$D$122,'Revenue Model'!$G$122,0)-IF(15='Revenue Model'!$D$123,'Revenue Model'!$G$123,0)-IF(15='Revenue Model'!$D$124,'Revenue Model'!$G$124,0)</x:f>
        <x:v>-110</x:v>
      </x:c>
      <x:c r="S21" s="31" t="n">
        <x:f>-S77-IF(16='Revenue Model'!$D$122,'Revenue Model'!$G$122,0)-IF(16='Revenue Model'!$D$123,'Revenue Model'!$G$123,0)-IF(16='Revenue Model'!$D$124,'Revenue Model'!$G$124,0)</x:f>
        <x:v>-435</x:v>
      </x:c>
      <x:c r="T21" s="31" t="n">
        <x:f>-T77-IF(17='Revenue Model'!$D$122,'Revenue Model'!$G$122,0)-IF(17='Revenue Model'!$D$123,'Revenue Model'!$G$123,0)-IF(17='Revenue Model'!$D$124,'Revenue Model'!$G$124,0)</x:f>
        <x:v>-120</x:v>
      </x:c>
      <x:c r="U21" s="31" t="n">
        <x:f>-U77-IF(18='Revenue Model'!$D$122,'Revenue Model'!$G$122,0)-IF(18='Revenue Model'!$D$123,'Revenue Model'!$G$123,0)-IF(18='Revenue Model'!$D$124,'Revenue Model'!$G$124,0)</x:f>
        <x:v>-135</x:v>
      </x:c>
      <x:c r="V21" s="31" t="n">
        <x:f>-V77-IF(19='Revenue Model'!$D$122,'Revenue Model'!$G$122,0)-IF(19='Revenue Model'!$D$123,'Revenue Model'!$G$123,0)-IF(19='Revenue Model'!$D$124,'Revenue Model'!$G$124,0)</x:f>
        <x:v>-140</x:v>
      </x:c>
      <x:c r="W21" s="31" t="n">
        <x:f>-W77-IF(20='Revenue Model'!$D$122,'Revenue Model'!$G$122,0)-IF(20='Revenue Model'!$D$123,'Revenue Model'!$G$123,0)-IF(20='Revenue Model'!$D$124,'Revenue Model'!$G$124,0)</x:f>
        <x:v>-145</x:v>
      </x:c>
      <x:c r="X21" s="31" t="n">
        <x:f>-X77-IF(21='Revenue Model'!$D$122,'Revenue Model'!$G$122,0)-IF(21='Revenue Model'!$D$123,'Revenue Model'!$G$123,0)-IF(21='Revenue Model'!$D$124,'Revenue Model'!$G$124,0)</x:f>
        <x:v>-150</x:v>
      </x:c>
    </x:row>
    <x:row r="22" ht="21" customHeight="1">
      <x:c r="A22" s="1"/>
      <x:c r="B22" s="1"/>
      <x:c r="C22" s="1" t="str">
        <x:v>Depreciation</x:v>
      </x:c>
      <x:c r="D22" s="2" t="n">
        <x:f>-MIN(-SUM($D21:D21)/(4*D68),MAX(0,-D21+0))</x:f>
        <x:v>0</x:v>
      </x:c>
      <x:c r="E22" s="2" t="n">
        <x:f>-MIN(-SUM($D21:E21)/(4*E68),MAX(0,-E21+D52))</x:f>
        <x:v>0</x:v>
      </x:c>
      <x:c r="F22" s="2" t="n">
        <x:f>-MIN(-SUM($D21:F21)/(4*E68),MAX(0,-F21+E52))</x:f>
        <x:v>0</x:v>
      </x:c>
      <x:c r="G22" s="2" t="n">
        <x:f>-MIN(-SUM($D21:G21)/(4*E68),MAX(0,-G21+F52))</x:f>
        <x:v>0</x:v>
      </x:c>
      <x:c r="H22" s="2" t="n">
        <x:f>-MIN(-SUM($D21:H21)/(4*E68),MAX(0,-H21+G52))</x:f>
        <x:v>0</x:v>
      </x:c>
      <x:c r="I22" s="2" t="n">
        <x:f>-MIN(-SUM($D21:I21)/(4*F68),MAX(0,-I21+H52))</x:f>
        <x:v>-0.25</x:v>
      </x:c>
      <x:c r="J22" s="2" t="n">
        <x:f>-MIN(-SUM($D21:J21)/(4*F68),MAX(0,-J21+I52))</x:f>
        <x:v>-0.6</x:v>
      </x:c>
      <x:c r="K22" s="2" t="n">
        <x:f>-MIN(-SUM($D21:K21)/(4*F68),MAX(0,-K21+J52))</x:f>
        <x:v>-11.5</x:v>
      </x:c>
      <x:c r="L22" s="2" t="n">
        <x:f>-MIN(-SUM($D21:L21)/(4*F68),MAX(0,-L21+K52))</x:f>
        <x:v>-13.9</x:v>
      </x:c>
      <x:c r="M22" s="2" t="n">
        <x:f>-MIN(-SUM($D21:M21)/(4*G68),MAX(0,-M21+L52))</x:f>
        <x:v>-16.4</x:v>
      </x:c>
      <x:c r="N22" s="2" t="n">
        <x:f>-MIN(-SUM($D21:N21)/(4*G68),MAX(0,-N21+M52))</x:f>
        <x:v>-19.15</x:v>
      </x:c>
      <x:c r="O22" s="2" t="n">
        <x:f>-MIN(-SUM($D21:O21)/(4*G68),MAX(0,-O21+N52))</x:f>
        <x:v>-35.15</x:v>
      </x:c>
      <x:c r="P22" s="2" t="n">
        <x:f>-MIN(-SUM($D21:P21)/(4*G68),MAX(0,-P21+O52))</x:f>
        <x:v>-38.4</x:v>
      </x:c>
      <x:c r="Q22" s="2" t="n">
        <x:f>-MIN(-SUM($D21:Q21)/(4*H68),MAX(0,-Q21+P52))</x:f>
        <x:v>-43.65</x:v>
      </x:c>
      <x:c r="R22" s="2" t="n">
        <x:f>-MIN(-SUM($D21:R21)/(4*H68),MAX(0,-R21+Q52))</x:f>
        <x:v>-49.15</x:v>
      </x:c>
      <x:c r="S22" s="2" t="n">
        <x:f>-MIN(-SUM($D21:S21)/(4*H68),MAX(0,-S21+R52))</x:f>
        <x:v>-70.9</x:v>
      </x:c>
      <x:c r="T22" s="2" t="n">
        <x:f>-MIN(-SUM($D21:T21)/(4*H68),MAX(0,-T21+S52))</x:f>
        <x:v>-76.9</x:v>
      </x:c>
      <x:c r="U22" s="2" t="n">
        <x:f>-MIN(-SUM($D21:U21)/(4*I68),MAX(0,-U21+T52))</x:f>
        <x:v>-83.65</x:v>
      </x:c>
      <x:c r="V22" s="2" t="n">
        <x:f>-MIN(-SUM($D21:V21)/(4*I68),MAX(0,-V21+U52))</x:f>
        <x:v>-90.65</x:v>
      </x:c>
      <x:c r="W22" s="2" t="n">
        <x:f>-MIN(-SUM($D21:W21)/(4*I68),MAX(0,-W21+V52))</x:f>
        <x:v>-97.9</x:v>
      </x:c>
      <x:c r="X22" s="2" t="n">
        <x:f>-MIN(-SUM($D21:X21)/(4*I68),MAX(0,-X21+W52))</x:f>
        <x:v>-105.4</x:v>
      </x:c>
    </x:row>
    <x:row r="23" ht="21" customHeight="1">
      <x:c r="A23" s="1"/>
      <x:c r="B23" s="1"/>
      <x:c r="C23" s="1" t="str">
        <x:v>Operating income</x:v>
      </x:c>
      <x:c r="D23" s="2" t="n">
        <x:f>SUM(D19,D22)</x:f>
        <x:v>-123</x:v>
      </x:c>
      <x:c r="E23" s="2" t="n">
        <x:f>SUM(E19,E22)</x:f>
        <x:v>-121</x:v>
      </x:c>
      <x:c r="F23" s="2" t="n">
        <x:f>SUM(F19,F22)</x:f>
        <x:v>-205</x:v>
      </x:c>
      <x:c r="G23" s="2" t="n">
        <x:f>SUM(G19,G22)</x:f>
        <x:v>-310</x:v>
      </x:c>
      <x:c r="H23" s="2" t="n">
        <x:f>SUM(H19,H22)</x:f>
        <x:v>-375.27125</x:v>
      </x:c>
      <x:c r="I23" s="2" t="n">
        <x:f>SUM(I19,I22)</x:f>
        <x:v>-57.86013323333326</x:v>
      </x:c>
      <x:c r="J23" s="2" t="n">
        <x:f>SUM(J19,J22)</x:f>
        <x:v>-219.17183428583328</x:v>
      </x:c>
      <x:c r="K23" s="2" t="n">
        <x:f>SUM(K19,K22)</x:f>
        <x:v>-709.9657922026024</x:v>
      </x:c>
      <x:c r="L23" s="2" t="n">
        <x:f>SUM(L19,L22)</x:f>
        <x:v>-1162.1355976812556</x:v>
      </x:c>
      <x:c r="M23" s="2" t="n">
        <x:f>SUM(M19,M22)</x:f>
        <x:v>-982.8290860454721</x:v>
      </x:c>
      <x:c r="N23" s="2" t="n">
        <x:f>SUM(N19,N22)</x:f>
        <x:v>-928.760204240485</x:v>
      </x:c>
      <x:c r="O23" s="2" t="n">
        <x:f>SUM(O19,O22)</x:f>
        <x:v>581.5304182859646</x:v>
      </x:c>
      <x:c r="P23" s="2" t="n">
        <x:f>SUM(P19,P22)</x:f>
        <x:v>2095.020235826268</x:v>
      </x:c>
      <x:c r="Q23" s="2" t="n">
        <x:f>SUM(Q19,Q22)</x:f>
        <x:v>3782.763758518598</x:v>
      </x:c>
      <x:c r="R23" s="2" t="n">
        <x:f>SUM(R19,R22)</x:f>
        <x:v>6256.2832467203925</x:v>
      </x:c>
      <x:c r="S23" s="2" t="n">
        <x:f>SUM(S19,S22)</x:f>
        <x:v>10171.386223251693</x:v>
      </x:c>
      <x:c r="T23" s="2" t="n">
        <x:f>SUM(T19,T22)</x:f>
        <x:v>13751.626960560485</x:v>
      </x:c>
      <x:c r="U23" s="2" t="n">
        <x:f>SUM(U19,U22)</x:f>
        <x:v>17704.020699675108</x:v>
      </x:c>
      <x:c r="V23" s="2" t="n">
        <x:f>SUM(V19,V22)</x:f>
        <x:v>21893.19466807425</x:v>
      </x:c>
      <x:c r="W23" s="2" t="n">
        <x:f>SUM(W19,W22)</x:f>
        <x:v>26398.70630535559</x:v>
      </x:c>
      <x:c r="X23" s="2" t="n">
        <x:f>SUM(X19,X22)</x:f>
        <x:v>30910.716709691784</x:v>
      </x:c>
    </x:row>
    <x:row r="24" ht="21" customHeight="1">
      <x:c r="A24" s="1"/>
      <x:c r="B24" s="1"/>
      <x:c r="C24" s="1" t="str">
        <x:v>Cash income taxes</x:v>
      </x:c>
      <x:c r="D24" s="2" t="n">
        <x:f>-D58*D66</x:f>
        <x:v>0</x:v>
      </x:c>
      <x:c r="E24" s="2" t="n">
        <x:f>-E58*E66</x:f>
        <x:v>0</x:v>
      </x:c>
      <x:c r="F24" s="2" t="n">
        <x:f>-F58*E66</x:f>
        <x:v>0</x:v>
      </x:c>
      <x:c r="G24" s="2" t="n">
        <x:f>-G58*E66</x:f>
        <x:v>0</x:v>
      </x:c>
      <x:c r="H24" s="2" t="n">
        <x:f>-H58*E66</x:f>
        <x:v>0</x:v>
      </x:c>
      <x:c r="I24" s="2" t="n">
        <x:f>-I58*F66</x:f>
        <x:v>0</x:v>
      </x:c>
      <x:c r="J24" s="2" t="n">
        <x:f>-J58*F66</x:f>
        <x:v>0</x:v>
      </x:c>
      <x:c r="K24" s="2" t="n">
        <x:f>-K58*F66</x:f>
        <x:v>0</x:v>
      </x:c>
      <x:c r="L24" s="2" t="n">
        <x:f>-L58*F66</x:f>
        <x:v>0</x:v>
      </x:c>
      <x:c r="M24" s="2" t="n">
        <x:f>-M58*G66</x:f>
        <x:v>0</x:v>
      </x:c>
      <x:c r="N24" s="2" t="n">
        <x:f>-N58*G66</x:f>
        <x:v>0</x:v>
      </x:c>
      <x:c r="O24" s="2" t="n">
        <x:f>-O58*G66</x:f>
        <x:v>0</x:v>
      </x:c>
      <x:c r="P24" s="2" t="n">
        <x:f>-P58*G66</x:f>
        <x:v>-45.65289419315214</x:v>
      </x:c>
      <x:c r="Q24" s="2" t="n">
        <x:f>-Q58*H66</x:f>
        <x:v>0</x:v>
      </x:c>
      <x:c r="R24" s="2" t="n">
        <x:f>-R58*H66</x:f>
        <x:v>0</x:v>
      </x:c>
      <x:c r="S24" s="2" t="n">
        <x:f>-S58*H66</x:f>
        <x:v>0</x:v>
      </x:c>
      <x:c r="T24" s="2" t="n">
        <x:f>-T58*H66</x:f>
        <x:v>-9337.122402336414</x:v>
      </x:c>
      <x:c r="U24" s="2" t="n">
        <x:f>-U58*I66</x:f>
        <x:v>0</x:v>
      </x:c>
      <x:c r="V24" s="2" t="n">
        <x:f>-V58*I66</x:f>
        <x:v>0</x:v>
      </x:c>
      <x:c r="W24" s="2" t="n">
        <x:f>-W58*I66</x:f>
        <x:v>0</x:v>
      </x:c>
      <x:c r="X24" s="2" t="n">
        <x:f>-X58*I66</x:f>
        <x:v>-28916.940893426545</x:v>
      </x:c>
    </x:row>
    <x:row r="25" ht="21" customHeight="1">
      <x:c r="A25" s="1"/>
      <x:c r="B25" s="1"/>
      <x:c r="C25" s="20" t="str">
        <x:v>Net income</x:v>
      </x:c>
      <x:c r="D25" s="22" t="n">
        <x:f>SUM(D23:D24)</x:f>
        <x:v>-123</x:v>
      </x:c>
      <x:c r="E25" s="22" t="n">
        <x:f>SUM(E23:E24)</x:f>
        <x:v>-121</x:v>
      </x:c>
      <x:c r="F25" s="22" t="n">
        <x:f>SUM(F23:F24)</x:f>
        <x:v>-205</x:v>
      </x:c>
      <x:c r="G25" s="22" t="n">
        <x:f>SUM(G23:G24)</x:f>
        <x:v>-310</x:v>
      </x:c>
      <x:c r="H25" s="22" t="n">
        <x:f>SUM(H23:H24)</x:f>
        <x:v>-375.27125</x:v>
      </x:c>
      <x:c r="I25" s="22" t="n">
        <x:f>SUM(I23:I24)</x:f>
        <x:v>-57.86013323333326</x:v>
      </x:c>
      <x:c r="J25" s="22" t="n">
        <x:f>SUM(J23:J24)</x:f>
        <x:v>-219.17183428583328</x:v>
      </x:c>
      <x:c r="K25" s="22" t="n">
        <x:f>SUM(K23:K24)</x:f>
        <x:v>-709.9657922026024</x:v>
      </x:c>
      <x:c r="L25" s="22" t="n">
        <x:f>SUM(L23:L24)</x:f>
        <x:v>-1162.1355976812556</x:v>
      </x:c>
      <x:c r="M25" s="22" t="n">
        <x:f>SUM(M23:M24)</x:f>
        <x:v>-982.8290860454721</x:v>
      </x:c>
      <x:c r="N25" s="22" t="n">
        <x:f>SUM(N23:N24)</x:f>
        <x:v>-928.760204240485</x:v>
      </x:c>
      <x:c r="O25" s="22" t="n">
        <x:f>SUM(O23:O24)</x:f>
        <x:v>581.5304182859646</x:v>
      </x:c>
      <x:c r="P25" s="22" t="n">
        <x:f>SUM(P23:P24)</x:f>
        <x:v>2049.367341633116</x:v>
      </x:c>
      <x:c r="Q25" s="22" t="n">
        <x:f>SUM(Q23:Q24)</x:f>
        <x:v>3782.763758518598</x:v>
      </x:c>
      <x:c r="R25" s="22" t="n">
        <x:f>SUM(R23:R24)</x:f>
        <x:v>6256.2832467203925</x:v>
      </x:c>
      <x:c r="S25" s="22" t="n">
        <x:f>SUM(S23:S24)</x:f>
        <x:v>10171.386223251693</x:v>
      </x:c>
      <x:c r="T25" s="22" t="n">
        <x:f>SUM(T23:T24)</x:f>
        <x:v>4414.504558224071</x:v>
      </x:c>
      <x:c r="U25" s="22" t="n">
        <x:f>SUM(U23:U24)</x:f>
        <x:v>17704.020699675108</x:v>
      </x:c>
      <x:c r="V25" s="22" t="n">
        <x:f>SUM(V23:V24)</x:f>
        <x:v>21893.19466807425</x:v>
      </x:c>
      <x:c r="W25" s="22" t="n">
        <x:f>SUM(W23:W24)</x:f>
        <x:v>26398.70630535559</x:v>
      </x:c>
      <x:c r="X25" s="22" t="n">
        <x:f>SUM(X23:X24)</x:f>
        <x:v>1993.775816265239</x:v>
      </x:c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</x:row>
    <x:row r="27" ht="23" customHeight="1">
      <x:c r="A27" s="1"/>
      <x:c r="B27" s="1"/>
      <x:c r="C27" s="13" t="str">
        <x:v>Cash flow and financing</x:v>
      </x:c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</x:row>
    <x:row r="28" ht="21" customHeight="1">
      <x:c r="A28" s="1"/>
      <x:c r="B28" s="1"/>
      <x:c r="C28" s="1" t="str">
        <x:v>Beginning cash</x:v>
      </x:c>
      <x:c r="D28" s="2" t="n">
        <x:f>$D$111</x:f>
        <x:v>0</x:v>
      </x:c>
      <x:c r="E28" s="2" t="n">
        <x:f>D41</x:f>
        <x:v>127</x:v>
      </x:c>
      <x:c r="F28" s="2" t="n">
        <x:f>E41</x:f>
        <x:v>6</x:v>
      </x:c>
      <x:c r="G28" s="2" t="n">
        <x:f>F41</x:f>
        <x:v>0</x:v>
      </x:c>
      <x:c r="H28" s="2" t="n">
        <x:f>G41</x:f>
        <x:v>491</x:v>
      </x:c>
      <x:c r="I28" s="2" t="n">
        <x:f>H41</x:f>
        <x:v>1608.1279726027396</x:v>
      </x:c>
      <x:c r="J28" s="2" t="n">
        <x:f>I41</x:f>
        <x:v>1455.5940903283106</x:v>
      </x:c>
      <x:c r="K28" s="2" t="n">
        <x:f>J41</x:f>
        <x:v>4656.625763244532</x:v>
      </x:c>
      <x:c r="L28" s="2" t="n">
        <x:f>K41</x:f>
        <x:v>3623.0831505562446</x:v>
      </x:c>
      <x:c r="M28" s="2" t="n">
        <x:f>L41</x:f>
        <x:v>8263.436474470685</x:v>
      </x:c>
      <x:c r="N28" s="2" t="n">
        <x:f>M41</x:f>
        <x:v>6209.545078283726</x:v>
      </x:c>
      <x:c r="O28" s="2" t="n">
        <x:f>N41</x:f>
        <x:v>4344.388736682264</x:v>
      </x:c>
      <x:c r="P28" s="2" t="n">
        <x:f>O41</x:f>
        <x:v>3196.7775068271653</x:v>
      </x:c>
      <x:c r="Q28" s="2" t="n">
        <x:f>P41</x:f>
        <x:v>3270.679071295727</x:v>
      </x:c>
      <x:c r="R28" s="2" t="n">
        <x:f>Q41</x:f>
        <x:v>1962.8614208791796</x:v>
      </x:c>
      <x:c r="S28" s="2" t="n">
        <x:f>R41</x:f>
        <x:v>4428.26851837066</x:v>
      </x:c>
      <x:c r="T28" s="2" t="n">
        <x:f>S41</x:f>
        <x:v>10183.629451994988</x:v>
      </x:c>
      <x:c r="U28" s="2" t="n">
        <x:f>T41</x:f>
        <x:v>10002.711237131376</x:v>
      </x:c>
      <x:c r="V28" s="2" t="n">
        <x:f>U41</x:f>
        <x:v>22416.770753138684</x:v>
      </x:c>
      <x:c r="W28" s="2" t="n">
        <x:f>V41</x:f>
        <x:v>38907.80307412246</x:v>
      </x:c>
      <x:c r="X28" s="2" t="n">
        <x:f>W41</x:f>
        <x:v>59712.000007236864</x:v>
      </x:c>
    </x:row>
    <x:row r="29" ht="21" customHeight="1">
      <x:c r="A29" s="1"/>
      <x:c r="B29" s="1"/>
      <x:c r="C29" s="1" t="str">
        <x:v>EBITDA</x:v>
      </x:c>
      <x:c r="D29" s="2" t="n">
        <x:f>D19</x:f>
        <x:v>-123</x:v>
      </x:c>
      <x:c r="E29" s="2" t="n">
        <x:f>E19</x:f>
        <x:v>-121</x:v>
      </x:c>
      <x:c r="F29" s="2" t="n">
        <x:f>F19</x:f>
        <x:v>-205</x:v>
      </x:c>
      <x:c r="G29" s="2" t="n">
        <x:f>G19</x:f>
        <x:v>-310</x:v>
      </x:c>
      <x:c r="H29" s="2" t="n">
        <x:f>H19</x:f>
        <x:v>-375.27125</x:v>
      </x:c>
      <x:c r="I29" s="2" t="n">
        <x:f>I19</x:f>
        <x:v>-57.61013323333326</x:v>
      </x:c>
      <x:c r="J29" s="2" t="n">
        <x:f>J19</x:f>
        <x:v>-218.5718342858333</x:v>
      </x:c>
      <x:c r="K29" s="2" t="n">
        <x:f>K19</x:f>
        <x:v>-698.4657922026024</x:v>
      </x:c>
      <x:c r="L29" s="2" t="n">
        <x:f>L19</x:f>
        <x:v>-1148.2355976812555</x:v>
      </x:c>
      <x:c r="M29" s="2" t="n">
        <x:f>M19</x:f>
        <x:v>-966.4290860454721</x:v>
      </x:c>
      <x:c r="N29" s="2" t="n">
        <x:f>N19</x:f>
        <x:v>-909.610204240485</x:v>
      </x:c>
      <x:c r="O29" s="2" t="n">
        <x:f>O19</x:f>
        <x:v>616.6804182859646</x:v>
      </x:c>
      <x:c r="P29" s="2" t="n">
        <x:f>P19</x:f>
        <x:v>2133.4202358262683</x:v>
      </x:c>
      <x:c r="Q29" s="2" t="n">
        <x:f>Q19</x:f>
        <x:v>3826.413758518598</x:v>
      </x:c>
      <x:c r="R29" s="2" t="n">
        <x:f>R19</x:f>
        <x:v>6305.433246720392</x:v>
      </x:c>
      <x:c r="S29" s="2" t="n">
        <x:f>S19</x:f>
        <x:v>10242.286223251693</x:v>
      </x:c>
      <x:c r="T29" s="2" t="n">
        <x:f>T19</x:f>
        <x:v>13828.526960560484</x:v>
      </x:c>
      <x:c r="U29" s="2" t="n">
        <x:f>U19</x:f>
        <x:v>17787.67069967511</x:v>
      </x:c>
      <x:c r="V29" s="2" t="n">
        <x:f>V19</x:f>
        <x:v>21983.844668074253</x:v>
      </x:c>
      <x:c r="W29" s="2" t="n">
        <x:f>W19</x:f>
        <x:v>26496.60630535559</x:v>
      </x:c>
      <x:c r="X29" s="2" t="n">
        <x:f>X19</x:f>
        <x:v>31016.116709691785</x:v>
      </x:c>
    </x:row>
    <x:row r="30" ht="21" customHeight="1">
      <x:c r="A30" s="1"/>
      <x:c r="B30" s="1"/>
      <x:c r="C30" s="1" t="str">
        <x:v>Cash income taxes</x:v>
      </x:c>
      <x:c r="D30" s="2" t="n">
        <x:f>D24</x:f>
        <x:v>0</x:v>
      </x:c>
      <x:c r="E30" s="2" t="n">
        <x:f>E24</x:f>
        <x:v>0</x:v>
      </x:c>
      <x:c r="F30" s="2" t="n">
        <x:f>F24</x:f>
        <x:v>0</x:v>
      </x:c>
      <x:c r="G30" s="2" t="n">
        <x:f>G24</x:f>
        <x:v>0</x:v>
      </x:c>
      <x:c r="H30" s="2" t="n">
        <x:f>H24</x:f>
        <x:v>0</x:v>
      </x:c>
      <x:c r="I30" s="2" t="n">
        <x:f>I24</x:f>
        <x:v>0</x:v>
      </x:c>
      <x:c r="J30" s="2" t="n">
        <x:f>J24</x:f>
        <x:v>0</x:v>
      </x:c>
      <x:c r="K30" s="2" t="n">
        <x:f>K24</x:f>
        <x:v>0</x:v>
      </x:c>
      <x:c r="L30" s="2" t="n">
        <x:f>L24</x:f>
        <x:v>0</x:v>
      </x:c>
      <x:c r="M30" s="2" t="n">
        <x:f>M24</x:f>
        <x:v>0</x:v>
      </x:c>
      <x:c r="N30" s="2" t="n">
        <x:f>N24</x:f>
        <x:v>0</x:v>
      </x:c>
      <x:c r="O30" s="2" t="n">
        <x:f>O24</x:f>
        <x:v>0</x:v>
      </x:c>
      <x:c r="P30" s="2" t="n">
        <x:f>P24</x:f>
        <x:v>-45.65289419315214</x:v>
      </x:c>
      <x:c r="Q30" s="2" t="n">
        <x:f>Q24</x:f>
        <x:v>0</x:v>
      </x:c>
      <x:c r="R30" s="2" t="n">
        <x:f>R24</x:f>
        <x:v>0</x:v>
      </x:c>
      <x:c r="S30" s="2" t="n">
        <x:f>S24</x:f>
        <x:v>0</x:v>
      </x:c>
      <x:c r="T30" s="2" t="n">
        <x:f>T24</x:f>
        <x:v>-9337.122402336414</x:v>
      </x:c>
      <x:c r="U30" s="2" t="n">
        <x:f>U24</x:f>
        <x:v>0</x:v>
      </x:c>
      <x:c r="V30" s="2" t="n">
        <x:f>V24</x:f>
        <x:v>0</x:v>
      </x:c>
      <x:c r="W30" s="2" t="n">
        <x:f>W24</x:f>
        <x:v>0</x:v>
      </x:c>
      <x:c r="X30" s="2" t="n">
        <x:f>X24</x:f>
        <x:v>-28916.940893426545</x:v>
      </x:c>
    </x:row>
    <x:row r="31" ht="21" customHeight="1">
      <x:c r="A31" s="1"/>
      <x:c r="B31" s="1"/>
      <x:c r="C31" s="1" t="str">
        <x:v>Change in working capital</x:v>
      </x:c>
      <x:c r="D31" s="2" t="n">
        <x:f>-(D51-0)</x:f>
        <x:v>0</x:v>
      </x:c>
      <x:c r="E31" s="2" t="n">
        <x:f>-(E51-D51)</x:f>
        <x:v>0</x:v>
      </x:c>
      <x:c r="F31" s="2" t="n">
        <x:f>-(F51-E51)</x:f>
        <x:v>0</x:v>
      </x:c>
      <x:c r="G31" s="2" t="n">
        <x:f>-(G51-F51)</x:f>
        <x:v>0</x:v>
      </x:c>
      <x:c r="H31" s="2" t="n">
        <x:f>-(H51-G51)</x:f>
        <x:v>-7.6007773972602735</x:v>
      </x:c>
      <x:c r="I31" s="2" t="n">
        <x:f>-(I51-H51)</x:f>
        <x:v>-89.92374904109589</x:v>
      </x:c>
      <x:c r="J31" s="2" t="n">
        <x:f>-(J51-I51)</x:f>
        <x:v>-73.39649279794523</x:v>
      </x:c>
      <x:c r="K31" s="2" t="n">
        <x:f>-(K51-J51)</x:f>
        <x:v>-117.07682048568489</x:v>
      </x:c>
      <x:c r="L31" s="2" t="n">
        <x:f>-(L51-K51)</x:f>
        <x:v>-163.41107840430334</x:v>
      </x:c>
      <x:c r="M31" s="2" t="n">
        <x:f>-(M51-L51)</x:f>
        <x:v>-1037.4623101414875</x:v>
      </x:c>
      <x:c r="N31" s="2" t="n">
        <x:f>-(N51-M51)</x:f>
        <x:v>-900.5461373609774</x:v>
      </x:c>
      <x:c r="O31" s="2" t="n">
        <x:f>-(O51-N51)</x:f>
        <x:v>-1444.291648141063</x:v>
      </x:c>
      <x:c r="P31" s="2" t="n">
        <x:f>-(P51-O51)</x:f>
        <x:v>-1948.8657771645544</x:v>
      </x:c>
      <x:c r="Q31" s="2" t="n">
        <x:f>-(Q51-P51)</x:f>
        <x:v>-5029.231408935146</x:v>
      </x:c>
      <x:c r="R31" s="2" t="n">
        <x:f>-(R51-Q51)</x:f>
        <x:v>-3730.026149228912</x:v>
      </x:c>
      <x:c r="S31" s="2" t="n">
        <x:f>-(S51-R51)</x:f>
        <x:v>-4051.9252896273647</x:v>
      </x:c>
      <x:c r="T31" s="2" t="n">
        <x:f>-(T51-S51)</x:f>
        <x:v>-4552.322773087682</x:v>
      </x:c>
      <x:c r="U31" s="2" t="n">
        <x:f>-(U51-T51)</x:f>
        <x:v>-5238.611183667799</x:v>
      </x:c>
      <x:c r="V31" s="2" t="n">
        <x:f>-(V51-U51)</x:f>
        <x:v>-5352.812347090479</x:v>
      </x:c>
      <x:c r="W31" s="2" t="n">
        <x:f>-(W51-V51)</x:f>
        <x:v>-5547.409372241185</x:v>
      </x:c>
      <x:c r="X31" s="2" t="n">
        <x:f>-(X51-W51)</x:f>
        <x:v>-5586.646116474476</x:v>
      </x:c>
    </x:row>
    <x:row r="32" ht="21" customHeight="1">
      <x:c r="A32" s="1"/>
      <x:c r="B32" s="1"/>
      <x:c r="C32" s="1" t="str">
        <x:v>Capital expenditure</x:v>
      </x:c>
      <x:c r="D32" s="2" t="n">
        <x:f>D21</x:f>
        <x:v>0</x:v>
      </x:c>
      <x:c r="E32" s="2" t="n">
        <x:f>E21</x:f>
        <x:v>0</x:v>
      </x:c>
      <x:c r="F32" s="2" t="n">
        <x:f>F21</x:f>
        <x:v>0</x:v>
      </x:c>
      <x:c r="G32" s="2" t="n">
        <x:f>G21</x:f>
        <x:v>0</x:v>
      </x:c>
      <x:c r="H32" s="2" t="n">
        <x:f>H21</x:f>
        <x:v>0</x:v>
      </x:c>
      <x:c r="I32" s="2" t="n">
        <x:f>I21</x:f>
        <x:v>-5</x:v>
      </x:c>
      <x:c r="J32" s="2" t="n">
        <x:f>J21</x:f>
        <x:v>-7</x:v>
      </x:c>
      <x:c r="K32" s="2" t="n">
        <x:f>K21</x:f>
        <x:v>-218</x:v>
      </x:c>
      <x:c r="L32" s="2" t="n">
        <x:f>L21</x:f>
        <x:v>-48</x:v>
      </x:c>
      <x:c r="M32" s="2" t="n">
        <x:f>M21</x:f>
        <x:v>-50</x:v>
      </x:c>
      <x:c r="N32" s="2" t="n">
        <x:f>N21</x:f>
        <x:v>-55</x:v>
      </x:c>
      <x:c r="O32" s="2" t="n">
        <x:f>O21</x:f>
        <x:v>-320</x:v>
      </x:c>
      <x:c r="P32" s="2" t="n">
        <x:f>P21</x:f>
        <x:v>-65</x:v>
      </x:c>
      <x:c r="Q32" s="2" t="n">
        <x:f>Q21</x:f>
        <x:v>-105</x:v>
      </x:c>
      <x:c r="R32" s="2" t="n">
        <x:f>R21</x:f>
        <x:v>-110</x:v>
      </x:c>
      <x:c r="S32" s="2" t="n">
        <x:f>S21</x:f>
        <x:v>-435</x:v>
      </x:c>
      <x:c r="T32" s="2" t="n">
        <x:f>T21</x:f>
        <x:v>-120</x:v>
      </x:c>
      <x:c r="U32" s="2" t="n">
        <x:f>U21</x:f>
        <x:v>-135</x:v>
      </x:c>
      <x:c r="V32" s="2" t="n">
        <x:f>V21</x:f>
        <x:v>-140</x:v>
      </x:c>
      <x:c r="W32" s="2" t="n">
        <x:f>W21</x:f>
        <x:v>-145</x:v>
      </x:c>
      <x:c r="X32" s="2" t="n">
        <x:f>X21</x:f>
        <x:v>-150</x:v>
      </x:c>
    </x:row>
    <x:row r="33" ht="21" customHeight="1">
      <x:c r="A33" s="1"/>
      <x:c r="B33" s="1"/>
      <x:c r="C33" s="20" t="str">
        <x:v>Free cash flow</x:v>
      </x:c>
      <x:c r="D33" s="22" t="n">
        <x:f>SUM(D29:D32)</x:f>
        <x:v>-123</x:v>
      </x:c>
      <x:c r="E33" s="22" t="n">
        <x:f>SUM(E29:E32)</x:f>
        <x:v>-121</x:v>
      </x:c>
      <x:c r="F33" s="22" t="n">
        <x:f>SUM(F29:F32)</x:f>
        <x:v>-205</x:v>
      </x:c>
      <x:c r="G33" s="22" t="n">
        <x:f>SUM(G29:G32)</x:f>
        <x:v>-310</x:v>
      </x:c>
      <x:c r="H33" s="22" t="n">
        <x:f>SUM(H29:H32)</x:f>
        <x:v>-382.8720273972603</x:v>
      </x:c>
      <x:c r="I33" s="22" t="n">
        <x:f>SUM(I29:I32)</x:f>
        <x:v>-152.53388227442915</x:v>
      </x:c>
      <x:c r="J33" s="22" t="n">
        <x:f>SUM(J29:J32)</x:f>
        <x:v>-298.9683270837785</x:v>
      </x:c>
      <x:c r="K33" s="22" t="n">
        <x:f>SUM(K29:K32)</x:f>
        <x:v>-1033.5426126882874</x:v>
      </x:c>
      <x:c r="L33" s="22" t="n">
        <x:f>SUM(L29:L32)</x:f>
        <x:v>-1359.6466760855587</x:v>
      </x:c>
      <x:c r="M33" s="22" t="n">
        <x:f>SUM(M29:M32)</x:f>
        <x:v>-2053.8913961869594</x:v>
      </x:c>
      <x:c r="N33" s="22" t="n">
        <x:f>SUM(N29:N32)</x:f>
        <x:v>-1865.1563416014624</x:v>
      </x:c>
      <x:c r="O33" s="22" t="n">
        <x:f>SUM(O29:O32)</x:f>
        <x:v>-1147.6112298550984</x:v>
      </x:c>
      <x:c r="P33" s="22" t="n">
        <x:f>SUM(P29:P32)</x:f>
        <x:v>73.9015644685619</x:v>
      </x:c>
      <x:c r="Q33" s="22" t="n">
        <x:f>SUM(Q29:Q32)</x:f>
        <x:v>-1307.8176504165476</x:v>
      </x:c>
      <x:c r="R33" s="22" t="n">
        <x:f>SUM(R29:R32)</x:f>
        <x:v>2465.4070974914803</x:v>
      </x:c>
      <x:c r="S33" s="22" t="n">
        <x:f>SUM(S29:S32)</x:f>
        <x:v>5755.360933624328</x:v>
      </x:c>
      <x:c r="T33" s="22" t="n">
        <x:f>SUM(T29:T32)</x:f>
        <x:v>-180.91821486361187</x:v>
      </x:c>
      <x:c r="U33" s="22" t="n">
        <x:f>SUM(U29:U32)</x:f>
        <x:v>12414.05951600731</x:v>
      </x:c>
      <x:c r="V33" s="22" t="n">
        <x:f>SUM(V29:V32)</x:f>
        <x:v>16491.032320983773</x:v>
      </x:c>
      <x:c r="W33" s="22" t="n">
        <x:f>SUM(W29:W32)</x:f>
        <x:v>20804.196933114406</x:v>
      </x:c>
      <x:c r="X33" s="22" t="n">
        <x:f>SUM(X29:X32)</x:f>
        <x:v>-3637.4703002092356</x:v>
      </x:c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</x:row>
    <x:row r="35" ht="21" customHeight="1">
      <x:c r="A35" s="1"/>
      <x:c r="B35" s="1"/>
      <x:c r="C35" s="1" t="str">
        <x:v>Tranche 1 funding target</x:v>
      </x:c>
      <x:c r="D35" s="2" t="n">
        <x:f>$D$101</x:f>
        <x:v>250</x:v>
      </x:c>
      <x:c r="E35" s="2" t="n">
        <x:f>0</x:f>
        <x:v>0</x:v>
      </x:c>
      <x:c r="F35" s="2" t="n">
        <x:f>0</x:f>
        <x:v>0</x:v>
      </x:c>
      <x:c r="G35" s="2" t="n">
        <x:f>0</x:f>
        <x:v>0</x:v>
      </x:c>
      <x:c r="H35" s="2" t="n">
        <x:f>0</x:f>
        <x:v>0</x:v>
      </x:c>
      <x:c r="I35" s="2" t="n">
        <x:f>0</x:f>
        <x:v>0</x:v>
      </x:c>
      <x:c r="J35" s="2" t="n">
        <x:f>0</x:f>
        <x:v>0</x:v>
      </x:c>
      <x:c r="K35" s="2" t="n">
        <x:f>0</x:f>
        <x:v>0</x:v>
      </x:c>
      <x:c r="L35" s="2" t="n">
        <x:f>0</x:f>
        <x:v>0</x:v>
      </x:c>
      <x:c r="M35" s="2" t="n">
        <x:f>0</x:f>
        <x:v>0</x:v>
      </x:c>
      <x:c r="N35" s="2" t="n">
        <x:f>0</x:f>
        <x:v>0</x:v>
      </x:c>
      <x:c r="O35" s="2" t="n">
        <x:f>0</x:f>
        <x:v>0</x:v>
      </x:c>
      <x:c r="P35" s="2" t="n">
        <x:f>0</x:f>
        <x:v>0</x:v>
      </x:c>
      <x:c r="Q35" s="2" t="n">
        <x:f>0</x:f>
        <x:v>0</x:v>
      </x:c>
      <x:c r="R35" s="2" t="n">
        <x:f>0</x:f>
        <x:v>0</x:v>
      </x:c>
      <x:c r="S35" s="2" t="n">
        <x:f>0</x:f>
        <x:v>0</x:v>
      </x:c>
      <x:c r="T35" s="2" t="n">
        <x:f>0</x:f>
        <x:v>0</x:v>
      </x:c>
      <x:c r="U35" s="2" t="n">
        <x:f>0</x:f>
        <x:v>0</x:v>
      </x:c>
      <x:c r="V35" s="2" t="n">
        <x:f>0</x:f>
        <x:v>0</x:v>
      </x:c>
      <x:c r="W35" s="2" t="n">
        <x:f>0</x:f>
        <x:v>0</x:v>
      </x:c>
      <x:c r="X35" s="2" t="n">
        <x:f>0</x:f>
        <x:v>0</x:v>
      </x:c>
    </x:row>
    <x:row r="36" ht="21" customHeight="1">
      <x:c r="A36" s="1"/>
      <x:c r="B36" s="1"/>
      <x:c r="C36" s="1" t="str">
        <x:v>Early tranche 2 funding required</x:v>
      </x:c>
      <x:c r="D36" s="2" t="n">
        <x:f>IF(1=$D$102,$D$103,0)</x:f>
        <x:v>0</x:v>
      </x:c>
      <x:c r="E36" s="2" t="n">
        <x:f>IF(2=$D$102,$D$103,0)</x:f>
        <x:v>0</x:v>
      </x:c>
      <x:c r="F36" s="2" t="n">
        <x:f>IF(3=$D$102,$D$103,0)</x:f>
        <x:v>199</x:v>
      </x:c>
      <x:c r="G36" s="2" t="n">
        <x:f>IF(4=$D$102,$D$103,0)</x:f>
        <x:v>0</x:v>
      </x:c>
      <x:c r="H36" s="2" t="n">
        <x:f>IF(5=$D$102,$D$103,0)</x:f>
        <x:v>0</x:v>
      </x:c>
      <x:c r="I36" s="2" t="n">
        <x:f>IF(6=$D$102,$D$103,0)</x:f>
        <x:v>0</x:v>
      </x:c>
      <x:c r="J36" s="2" t="n">
        <x:f>IF(7=$D$102,$D$103,0)</x:f>
        <x:v>0</x:v>
      </x:c>
      <x:c r="K36" s="2" t="n">
        <x:f>IF(8=$D$102,$D$103,0)</x:f>
        <x:v>0</x:v>
      </x:c>
      <x:c r="L36" s="2" t="n">
        <x:f>IF(9=$D$102,$D$103,0)</x:f>
        <x:v>0</x:v>
      </x:c>
      <x:c r="M36" s="2" t="n">
        <x:f>IF(10=$D$102,$D$103,0)</x:f>
        <x:v>0</x:v>
      </x:c>
      <x:c r="N36" s="2" t="n">
        <x:f>IF(11=$D$102,$D$103,0)</x:f>
        <x:v>0</x:v>
      </x:c>
      <x:c r="O36" s="2" t="n">
        <x:f>IF(12=$D$102,$D$103,0)</x:f>
        <x:v>0</x:v>
      </x:c>
      <x:c r="P36" s="2" t="n">
        <x:f>IF(13=$D$102,$D$103,0)</x:f>
        <x:v>0</x:v>
      </x:c>
      <x:c r="Q36" s="2" t="n">
        <x:f>IF(14=$D$102,$D$103,0)</x:f>
        <x:v>0</x:v>
      </x:c>
      <x:c r="R36" s="2" t="n">
        <x:f>IF(15=$D$102,$D$103,0)</x:f>
        <x:v>0</x:v>
      </x:c>
      <x:c r="S36" s="2" t="n">
        <x:f>IF(16=$D$102,$D$103,0)</x:f>
        <x:v>0</x:v>
      </x:c>
      <x:c r="T36" s="2" t="n">
        <x:f>IF(17=$D$102,$D$103,0)</x:f>
        <x:v>0</x:v>
      </x:c>
      <x:c r="U36" s="2" t="n">
        <x:f>IF(18=$D$102,$D$103,0)</x:f>
        <x:v>0</x:v>
      </x:c>
      <x:c r="V36" s="2" t="n">
        <x:f>IF(19=$D$102,$D$103,0)</x:f>
        <x:v>0</x:v>
      </x:c>
      <x:c r="W36" s="2" t="n">
        <x:f>IF(20=$D$102,$D$103,0)</x:f>
        <x:v>0</x:v>
      </x:c>
      <x:c r="X36" s="2" t="n">
        <x:f>IF(21=$D$102,$D$103,0)</x:f>
        <x:v>0</x:v>
      </x:c>
    </x:row>
    <x:row r="37" ht="21" customHeight="1">
      <x:c r="A37" s="1"/>
      <x:c r="B37" s="1"/>
      <x:c r="C37" s="1" t="str">
        <x:v>Remaining tranche 2 funding target</x:v>
      </x:c>
      <x:c r="D37" s="31" t="n">
        <x:f>IF(1=$D$104,'Use of Funds'!$D$33-$D$103,0)</x:f>
        <x:v>0</x:v>
      </x:c>
      <x:c r="E37" s="31" t="n">
        <x:f>IF(2=$D$104,'Use of Funds'!$D$33-$D$103,0)</x:f>
        <x:v>0</x:v>
      </x:c>
      <x:c r="F37" s="31" t="n">
        <x:f>IF(3=$D$104,'Use of Funds'!$D$33-$D$103,0)</x:f>
        <x:v>0</x:v>
      </x:c>
      <x:c r="G37" s="31" t="n">
        <x:f>IF(4=$D$104,'Use of Funds'!$D$33-$D$103,0)</x:f>
        <x:v>801</x:v>
      </x:c>
      <x:c r="H37" s="31" t="n">
        <x:f>IF(5=$D$104,'Use of Funds'!$D$33-$D$103,0)</x:f>
        <x:v>0</x:v>
      </x:c>
      <x:c r="I37" s="31" t="n">
        <x:f>IF(6=$D$104,'Use of Funds'!$D$33-$D$103,0)</x:f>
        <x:v>0</x:v>
      </x:c>
      <x:c r="J37" s="31" t="n">
        <x:f>IF(7=$D$104,'Use of Funds'!$D$33-$D$103,0)</x:f>
        <x:v>0</x:v>
      </x:c>
      <x:c r="K37" s="31" t="n">
        <x:f>IF(8=$D$104,'Use of Funds'!$D$33-$D$103,0)</x:f>
        <x:v>0</x:v>
      </x:c>
      <x:c r="L37" s="31" t="n">
        <x:f>IF(9=$D$104,'Use of Funds'!$D$33-$D$103,0)</x:f>
        <x:v>0</x:v>
      </x:c>
      <x:c r="M37" s="31" t="n">
        <x:f>IF(10=$D$104,'Use of Funds'!$D$33-$D$103,0)</x:f>
        <x:v>0</x:v>
      </x:c>
      <x:c r="N37" s="31" t="n">
        <x:f>IF(11=$D$104,'Use of Funds'!$D$33-$D$103,0)</x:f>
        <x:v>0</x:v>
      </x:c>
      <x:c r="O37" s="31" t="n">
        <x:f>IF(12=$D$104,'Use of Funds'!$D$33-$D$103,0)</x:f>
        <x:v>0</x:v>
      </x:c>
      <x:c r="P37" s="31" t="n">
        <x:f>IF(13=$D$104,'Use of Funds'!$D$33-$D$103,0)</x:f>
        <x:v>0</x:v>
      </x:c>
      <x:c r="Q37" s="31" t="n">
        <x:f>IF(14=$D$104,'Use of Funds'!$D$33-$D$103,0)</x:f>
        <x:v>0</x:v>
      </x:c>
      <x:c r="R37" s="31" t="n">
        <x:f>IF(15=$D$104,'Use of Funds'!$D$33-$D$103,0)</x:f>
        <x:v>0</x:v>
      </x:c>
      <x:c r="S37" s="31" t="n">
        <x:f>IF(16=$D$104,'Use of Funds'!$D$33-$D$103,0)</x:f>
        <x:v>0</x:v>
      </x:c>
      <x:c r="T37" s="31" t="n">
        <x:f>IF(17=$D$104,'Use of Funds'!$D$33-$D$103,0)</x:f>
        <x:v>0</x:v>
      </x:c>
      <x:c r="U37" s="31" t="n">
        <x:f>IF(18=$D$104,'Use of Funds'!$D$33-$D$103,0)</x:f>
        <x:v>0</x:v>
      </x:c>
      <x:c r="V37" s="31" t="n">
        <x:f>IF(19=$D$104,'Use of Funds'!$D$33-$D$103,0)</x:f>
        <x:v>0</x:v>
      </x:c>
      <x:c r="W37" s="31" t="n">
        <x:f>IF(20=$D$104,'Use of Funds'!$D$33-$D$103,0)</x:f>
        <x:v>0</x:v>
      </x:c>
      <x:c r="X37" s="31" t="n">
        <x:f>IF(21=$D$104,'Use of Funds'!$D$33-$D$103,0)</x:f>
        <x:v>0</x:v>
      </x:c>
    </x:row>
    <x:row r="38" ht="21" customHeight="1">
      <x:c r="A38" s="1"/>
      <x:c r="B38" s="1"/>
      <x:c r="C38" s="1" t="str">
        <x:v>Seed funding target</x:v>
      </x:c>
      <x:c r="D38" s="2" t="n">
        <x:f>IF(1=$D$106,$D$105,0)+IF(1=$D$108,$D$107,0)</x:f>
        <x:v>0</x:v>
      </x:c>
      <x:c r="E38" s="2" t="n">
        <x:f>IF(2=$D$106,$D$105,0)+IF(2=$D$108,$D$107,0)</x:f>
        <x:v>0</x:v>
      </x:c>
      <x:c r="F38" s="2" t="n">
        <x:f>IF(3=$D$106,$D$105,0)+IF(3=$D$108,$D$107,0)</x:f>
        <x:v>0</x:v>
      </x:c>
      <x:c r="G38" s="2" t="n">
        <x:f>IF(4=$D$106,$D$105,0)+IF(4=$D$108,$D$107,0)</x:f>
        <x:v>0</x:v>
      </x:c>
      <x:c r="H38" s="2" t="n">
        <x:f>IF(5=$D$106,$D$105,0)+IF(5=$D$108,$D$107,0)</x:f>
        <x:v>1500</x:v>
      </x:c>
      <x:c r="I38" s="2" t="n">
        <x:f>IF(6=$D$106,$D$105,0)+IF(6=$D$108,$D$107,0)</x:f>
        <x:v>0</x:v>
      </x:c>
      <x:c r="J38" s="2" t="n">
        <x:f>IF(7=$D$106,$D$105,0)+IF(7=$D$108,$D$107,0)</x:f>
        <x:v>3500</x:v>
      </x:c>
      <x:c r="K38" s="2" t="n">
        <x:f>IF(8=$D$106,$D$105,0)+IF(8=$D$108,$D$107,0)</x:f>
        <x:v>0</x:v>
      </x:c>
      <x:c r="L38" s="2" t="n">
        <x:f>IF(9=$D$106,$D$105,0)+IF(9=$D$108,$D$107,0)</x:f>
        <x:v>0</x:v>
      </x:c>
      <x:c r="M38" s="2" t="n">
        <x:f>IF(10=$D$106,$D$105,0)+IF(10=$D$108,$D$107,0)</x:f>
        <x:v>0</x:v>
      </x:c>
      <x:c r="N38" s="2" t="n">
        <x:f>IF(11=$D$106,$D$105,0)+IF(11=$D$108,$D$107,0)</x:f>
        <x:v>0</x:v>
      </x:c>
      <x:c r="O38" s="2" t="n">
        <x:f>IF(12=$D$106,$D$105,0)+IF(12=$D$108,$D$107,0)</x:f>
        <x:v>0</x:v>
      </x:c>
      <x:c r="P38" s="2" t="n">
        <x:f>IF(13=$D$106,$D$105,0)+IF(13=$D$108,$D$107,0)</x:f>
        <x:v>0</x:v>
      </x:c>
      <x:c r="Q38" s="2" t="n">
        <x:f>IF(14=$D$106,$D$105,0)+IF(14=$D$108,$D$107,0)</x:f>
        <x:v>0</x:v>
      </x:c>
      <x:c r="R38" s="2" t="n">
        <x:f>IF(15=$D$106,$D$105,0)+IF(15=$D$108,$D$107,0)</x:f>
        <x:v>0</x:v>
      </x:c>
      <x:c r="S38" s="2" t="n">
        <x:f>IF(16=$D$106,$D$105,0)+IF(16=$D$108,$D$107,0)</x:f>
        <x:v>0</x:v>
      </x:c>
      <x:c r="T38" s="2" t="n">
        <x:f>IF(17=$D$106,$D$105,0)+IF(17=$D$108,$D$107,0)</x:f>
        <x:v>0</x:v>
      </x:c>
      <x:c r="U38" s="2" t="n">
        <x:f>IF(18=$D$106,$D$105,0)+IF(18=$D$108,$D$107,0)</x:f>
        <x:v>0</x:v>
      </x:c>
      <x:c r="V38" s="2" t="n">
        <x:f>IF(19=$D$106,$D$105,0)+IF(19=$D$108,$D$107,0)</x:f>
        <x:v>0</x:v>
      </x:c>
      <x:c r="W38" s="2" t="n">
        <x:f>IF(20=$D$106,$D$105,0)+IF(20=$D$108,$D$107,0)</x:f>
        <x:v>0</x:v>
      </x:c>
      <x:c r="X38" s="2" t="n">
        <x:f>IF(21=$D$106,$D$105,0)+IF(21=$D$108,$D$107,0)</x:f>
        <x:v>0</x:v>
      </x:c>
    </x:row>
    <x:row r="39" ht="21" customHeight="1">
      <x:c r="A39" s="1"/>
      <x:c r="B39" s="1"/>
      <x:c r="C39" s="1" t="str">
        <x:v>Series A funding target</x:v>
      </x:c>
      <x:c r="D39" s="2" t="n">
        <x:f>IF(1=$D$110,$D$109,0)</x:f>
        <x:v>0</x:v>
      </x:c>
      <x:c r="E39" s="2" t="n">
        <x:f>IF(2=$D$110,$D$109,0)</x:f>
        <x:v>0</x:v>
      </x:c>
      <x:c r="F39" s="2" t="n">
        <x:f>IF(3=$D$110,$D$109,0)</x:f>
        <x:v>0</x:v>
      </x:c>
      <x:c r="G39" s="2" t="n">
        <x:f>IF(4=$D$110,$D$109,0)</x:f>
        <x:v>0</x:v>
      </x:c>
      <x:c r="H39" s="2" t="n">
        <x:f>IF(5=$D$110,$D$109,0)</x:f>
        <x:v>0</x:v>
      </x:c>
      <x:c r="I39" s="2" t="n">
        <x:f>IF(6=$D$110,$D$109,0)</x:f>
        <x:v>0</x:v>
      </x:c>
      <x:c r="J39" s="2" t="n">
        <x:f>IF(7=$D$110,$D$109,0)</x:f>
        <x:v>0</x:v>
      </x:c>
      <x:c r="K39" s="2" t="n">
        <x:f>IF(8=$D$110,$D$109,0)</x:f>
        <x:v>0</x:v>
      </x:c>
      <x:c r="L39" s="2" t="n">
        <x:f>IF(9=$D$110,$D$109,0)</x:f>
        <x:v>6000</x:v>
      </x:c>
      <x:c r="M39" s="2" t="n">
        <x:f>IF(10=$D$110,$D$109,0)</x:f>
        <x:v>0</x:v>
      </x:c>
      <x:c r="N39" s="2" t="n">
        <x:f>IF(11=$D$110,$D$109,0)</x:f>
        <x:v>0</x:v>
      </x:c>
      <x:c r="O39" s="2" t="n">
        <x:f>IF(12=$D$110,$D$109,0)</x:f>
        <x:v>0</x:v>
      </x:c>
      <x:c r="P39" s="2" t="n">
        <x:f>IF(13=$D$110,$D$109,0)</x:f>
        <x:v>0</x:v>
      </x:c>
      <x:c r="Q39" s="2" t="n">
        <x:f>IF(14=$D$110,$D$109,0)</x:f>
        <x:v>0</x:v>
      </x:c>
      <x:c r="R39" s="2" t="n">
        <x:f>IF(15=$D$110,$D$109,0)</x:f>
        <x:v>0</x:v>
      </x:c>
      <x:c r="S39" s="2" t="n">
        <x:f>IF(16=$D$110,$D$109,0)</x:f>
        <x:v>0</x:v>
      </x:c>
      <x:c r="T39" s="2" t="n">
        <x:f>IF(17=$D$110,$D$109,0)</x:f>
        <x:v>0</x:v>
      </x:c>
      <x:c r="U39" s="2" t="n">
        <x:f>IF(18=$D$110,$D$109,0)</x:f>
        <x:v>0</x:v>
      </x:c>
      <x:c r="V39" s="2" t="n">
        <x:f>IF(19=$D$110,$D$109,0)</x:f>
        <x:v>0</x:v>
      </x:c>
      <x:c r="W39" s="2" t="n">
        <x:f>IF(20=$D$110,$D$109,0)</x:f>
        <x:v>0</x:v>
      </x:c>
      <x:c r="X39" s="2" t="n">
        <x:f>IF(21=$D$110,$D$109,0)</x:f>
        <x:v>0</x:v>
      </x:c>
    </x:row>
    <x:row r="40" ht="21" customHeight="1">
      <x:c r="A40" s="1"/>
      <x:c r="B40" s="1"/>
      <x:c r="C40" s="20" t="str">
        <x:v>Total financing</x:v>
      </x:c>
      <x:c r="D40" s="22" t="n">
        <x:f>SUM(D35:D39)</x:f>
        <x:v>250</x:v>
      </x:c>
      <x:c r="E40" s="22" t="n">
        <x:f>SUM(E35:E39)</x:f>
        <x:v>0</x:v>
      </x:c>
      <x:c r="F40" s="22" t="n">
        <x:f>SUM(F35:F39)</x:f>
        <x:v>199</x:v>
      </x:c>
      <x:c r="G40" s="22" t="n">
        <x:f>SUM(G35:G39)</x:f>
        <x:v>801</x:v>
      </x:c>
      <x:c r="H40" s="22" t="n">
        <x:f>SUM(H35:H39)</x:f>
        <x:v>1500</x:v>
      </x:c>
      <x:c r="I40" s="22" t="n">
        <x:f>SUM(I35:I39)</x:f>
        <x:v>0</x:v>
      </x:c>
      <x:c r="J40" s="22" t="n">
        <x:f>SUM(J35:J39)</x:f>
        <x:v>3500</x:v>
      </x:c>
      <x:c r="K40" s="22" t="n">
        <x:f>SUM(K35:K39)</x:f>
        <x:v>0</x:v>
      </x:c>
      <x:c r="L40" s="22" t="n">
        <x:f>SUM(L35:L39)</x:f>
        <x:v>6000</x:v>
      </x:c>
      <x:c r="M40" s="22" t="n">
        <x:f>SUM(M35:M39)</x:f>
        <x:v>0</x:v>
      </x:c>
      <x:c r="N40" s="22" t="n">
        <x:f>SUM(N35:N39)</x:f>
        <x:v>0</x:v>
      </x:c>
      <x:c r="O40" s="22" t="n">
        <x:f>SUM(O35:O39)</x:f>
        <x:v>0</x:v>
      </x:c>
      <x:c r="P40" s="22" t="n">
        <x:f>SUM(P35:P39)</x:f>
        <x:v>0</x:v>
      </x:c>
      <x:c r="Q40" s="22" t="n">
        <x:f>SUM(Q35:Q39)</x:f>
        <x:v>0</x:v>
      </x:c>
      <x:c r="R40" s="22" t="n">
        <x:f>SUM(R35:R39)</x:f>
        <x:v>0</x:v>
      </x:c>
      <x:c r="S40" s="22" t="n">
        <x:f>SUM(S35:S39)</x:f>
        <x:v>0</x:v>
      </x:c>
      <x:c r="T40" s="22" t="n">
        <x:f>SUM(T35:T39)</x:f>
        <x:v>0</x:v>
      </x:c>
      <x:c r="U40" s="22" t="n">
        <x:f>SUM(U35:U39)</x:f>
        <x:v>0</x:v>
      </x:c>
      <x:c r="V40" s="22" t="n">
        <x:f>SUM(V35:V39)</x:f>
        <x:v>0</x:v>
      </x:c>
      <x:c r="W40" s="22" t="n">
        <x:f>SUM(W35:W39)</x:f>
        <x:v>0</x:v>
      </x:c>
      <x:c r="X40" s="22" t="n">
        <x:f>SUM(X35:X39)</x:f>
        <x:v>0</x:v>
      </x:c>
    </x:row>
    <x:row r="41" ht="21" customHeight="1">
      <x:c r="A41" s="1"/>
      <x:c r="B41" s="1"/>
      <x:c r="C41" s="20" t="str">
        <x:v>Ending cash with planned financing</x:v>
      </x:c>
      <x:c r="D41" s="22" t="n">
        <x:f>SUM(D28,D33,D40)</x:f>
        <x:v>127</x:v>
      </x:c>
      <x:c r="E41" s="22" t="n">
        <x:f>SUM(E28,E33,E40)</x:f>
        <x:v>6</x:v>
      </x:c>
      <x:c r="F41" s="22" t="n">
        <x:f>SUM(F28,F33,F40)</x:f>
        <x:v>0</x:v>
      </x:c>
      <x:c r="G41" s="22" t="n">
        <x:f>SUM(G28,G33,G40)</x:f>
        <x:v>491</x:v>
      </x:c>
      <x:c r="H41" s="22" t="n">
        <x:f>SUM(H28,H33,H40)</x:f>
        <x:v>1608.1279726027396</x:v>
      </x:c>
      <x:c r="I41" s="22" t="n">
        <x:f>SUM(I28,I33,I40)</x:f>
        <x:v>1455.5940903283106</x:v>
      </x:c>
      <x:c r="J41" s="22" t="n">
        <x:f>SUM(J28,J33,J40)</x:f>
        <x:v>4656.625763244532</x:v>
      </x:c>
      <x:c r="K41" s="22" t="n">
        <x:f>SUM(K28,K33,K40)</x:f>
        <x:v>3623.0831505562446</x:v>
      </x:c>
      <x:c r="L41" s="22" t="n">
        <x:f>SUM(L28,L33,L40)</x:f>
        <x:v>8263.436474470685</x:v>
      </x:c>
      <x:c r="M41" s="22" t="n">
        <x:f>SUM(M28,M33,M40)</x:f>
        <x:v>6209.545078283726</x:v>
      </x:c>
      <x:c r="N41" s="22" t="n">
        <x:f>SUM(N28,N33,N40)</x:f>
        <x:v>4344.388736682264</x:v>
      </x:c>
      <x:c r="O41" s="22" t="n">
        <x:f>SUM(O28,O33,O40)</x:f>
        <x:v>3196.7775068271653</x:v>
      </x:c>
      <x:c r="P41" s="22" t="n">
        <x:f>SUM(P28,P33,P40)</x:f>
        <x:v>3270.679071295727</x:v>
      </x:c>
      <x:c r="Q41" s="22" t="n">
        <x:f>SUM(Q28,Q33,Q40)</x:f>
        <x:v>1962.8614208791796</x:v>
      </x:c>
      <x:c r="R41" s="22" t="n">
        <x:f>SUM(R28,R33,R40)</x:f>
        <x:v>4428.26851837066</x:v>
      </x:c>
      <x:c r="S41" s="22" t="n">
        <x:f>SUM(S28,S33,S40)</x:f>
        <x:v>10183.629451994988</x:v>
      </x:c>
      <x:c r="T41" s="22" t="n">
        <x:f>SUM(T28,T33,T40)</x:f>
        <x:v>10002.711237131376</x:v>
      </x:c>
      <x:c r="U41" s="22" t="n">
        <x:f>SUM(U28,U33,U40)</x:f>
        <x:v>22416.770753138684</x:v>
      </x:c>
      <x:c r="V41" s="22" t="n">
        <x:f>SUM(V28,V33,V40)</x:f>
        <x:v>38907.80307412246</x:v>
      </x:c>
      <x:c r="W41" s="22" t="n">
        <x:f>SUM(W28,W33,W40)</x:f>
        <x:v>59712.000007236864</x:v>
      </x:c>
      <x:c r="X41" s="22" t="n">
        <x:f>SUM(X28,X33,X40)</x:f>
        <x:v>56074.52970702763</x:v>
      </x:c>
    </x:row>
    <x:row r="42" ht="21" customHeight="1">
      <x:c r="A42" s="1"/>
      <x:c r="B42" s="1"/>
      <x:c r="C42" s="1" t="str">
        <x:v>Cash without early tranche 2 funding</x:v>
      </x:c>
      <x:c r="D42" s="2" t="n">
        <x:f>D41-IF(1&lt;$D$104,SUM($D36:D36),0)</x:f>
        <x:v>127</x:v>
      </x:c>
      <x:c r="E42" s="2" t="n">
        <x:f>E41-IF(2&lt;$D$104,SUM($D36:E36),0)</x:f>
        <x:v>6</x:v>
      </x:c>
      <x:c r="F42" s="2" t="n">
        <x:f>F41-IF(3&lt;$D$104,SUM($D36:F36),0)</x:f>
        <x:v>-199</x:v>
      </x:c>
      <x:c r="G42" s="2" t="n">
        <x:f>G41-IF(4&lt;$D$104,SUM($D36:G36),0)</x:f>
        <x:v>491</x:v>
      </x:c>
      <x:c r="H42" s="2" t="n">
        <x:f>H41-IF(5&lt;$D$104,SUM($D36:H36),0)</x:f>
        <x:v>1608.1279726027396</x:v>
      </x:c>
      <x:c r="I42" s="2" t="n">
        <x:f>I41-IF(6&lt;$D$104,SUM($D36:I36),0)</x:f>
        <x:v>1455.5940903283106</x:v>
      </x:c>
      <x:c r="J42" s="2" t="n">
        <x:f>J41-IF(7&lt;$D$104,SUM($D36:J36),0)</x:f>
        <x:v>4656.625763244532</x:v>
      </x:c>
      <x:c r="K42" s="2" t="n">
        <x:f>K41-IF(8&lt;$D$104,SUM($D36:K36),0)</x:f>
        <x:v>3623.0831505562446</x:v>
      </x:c>
      <x:c r="L42" s="2" t="n">
        <x:f>L41-IF(9&lt;$D$104,SUM($D36:L36),0)</x:f>
        <x:v>8263.436474470685</x:v>
      </x:c>
      <x:c r="M42" s="2" t="n">
        <x:f>M41-IF(10&lt;$D$104,SUM($D36:M36),0)</x:f>
        <x:v>6209.545078283726</x:v>
      </x:c>
      <x:c r="N42" s="2" t="n">
        <x:f>N41-IF(11&lt;$D$104,SUM($D36:N36),0)</x:f>
        <x:v>4344.388736682264</x:v>
      </x:c>
      <x:c r="O42" s="2" t="n">
        <x:f>O41-IF(12&lt;$D$104,SUM($D36:O36),0)</x:f>
        <x:v>3196.7775068271653</x:v>
      </x:c>
      <x:c r="P42" s="2" t="n">
        <x:f>P41-IF(13&lt;$D$104,SUM($D36:P36),0)</x:f>
        <x:v>3270.679071295727</x:v>
      </x:c>
      <x:c r="Q42" s="2" t="n">
        <x:f>Q41-IF(14&lt;$D$104,SUM($D36:Q36),0)</x:f>
        <x:v>1962.8614208791796</x:v>
      </x:c>
      <x:c r="R42" s="2" t="n">
        <x:f>R41-IF(15&lt;$D$104,SUM($D36:R36),0)</x:f>
        <x:v>4428.26851837066</x:v>
      </x:c>
      <x:c r="S42" s="2" t="n">
        <x:f>S41-IF(16&lt;$D$104,SUM($D36:S36),0)</x:f>
        <x:v>10183.629451994988</x:v>
      </x:c>
      <x:c r="T42" s="2" t="n">
        <x:f>T41-IF(17&lt;$D$104,SUM($D36:T36),0)</x:f>
        <x:v>10002.711237131376</x:v>
      </x:c>
      <x:c r="U42" s="2" t="n">
        <x:f>U41-IF(18&lt;$D$104,SUM($D36:U36),0)</x:f>
        <x:v>22416.770753138684</x:v>
      </x:c>
      <x:c r="V42" s="2" t="n">
        <x:f>V41-IF(19&lt;$D$104,SUM($D36:V36),0)</x:f>
        <x:v>38907.80307412246</x:v>
      </x:c>
      <x:c r="W42" s="2" t="n">
        <x:f>W41-IF(20&lt;$D$104,SUM($D36:W36),0)</x:f>
        <x:v>59712.000007236864</x:v>
      </x:c>
      <x:c r="X42" s="2" t="n">
        <x:f>X41-IF(21&lt;$D$104,SUM($D36:X36),0)</x:f>
        <x:v>56074.52970702763</x:v>
      </x:c>
    </x:row>
    <x:row r="43" ht="21" customHeight="1">
      <x:c r="A43" s="1"/>
      <x:c r="B43" s="1"/>
      <x:c r="C43" s="1" t="str">
        <x:v>Post-launch operating cash target</x:v>
      </x:c>
      <x:c r="D43" s="31" t="n">
        <x:f>IF(1&lt;'Revenue Model'!$D$75,0,MAX(D69,-D18*D70/13))</x:f>
        <x:v>0</x:v>
      </x:c>
      <x:c r="E43" s="31" t="n">
        <x:f>IF(2&lt;'Revenue Model'!$D$75,0,MAX(E69,-E18*E70/13))</x:f>
        <x:v>0</x:v>
      </x:c>
      <x:c r="F43" s="31" t="n">
        <x:f>IF(3&lt;'Revenue Model'!$D$75,0,MAX(E69,-F18*E70/13))</x:f>
        <x:v>0</x:v>
      </x:c>
      <x:c r="G43" s="31" t="n">
        <x:f>IF(4&lt;'Revenue Model'!$D$75,0,MAX(E69,-G18*E70/13))</x:f>
        <x:v>0</x:v>
      </x:c>
      <x:c r="H43" s="31" t="n">
        <x:f>IF(5&lt;'Revenue Model'!$D$75,0,MAX(E69,-H18*E70/13))</x:f>
        <x:v>171.61015384615382</x:v>
      </x:c>
      <x:c r="I43" s="31" t="n">
        <x:f>IF(6&lt;'Revenue Model'!$D$75,0,MAX(F69,-I18*F70/13))</x:f>
        <x:v>100</x:v>
      </x:c>
      <x:c r="J43" s="31" t="n">
        <x:f>IF(7&lt;'Revenue Model'!$D$75,0,MAX(F69,-J18*F70/13))</x:f>
        <x:v>103.92566923076923</x:v>
      </x:c>
      <x:c r="K43" s="31" t="n">
        <x:f>IF(8&lt;'Revenue Model'!$D$75,0,MAX(F69,-K18*F70/13))</x:f>
        <x:v>461.8410587912088</x:v>
      </x:c>
      <x:c r="L43" s="31" t="n">
        <x:f>IF(9&lt;'Revenue Model'!$D$75,0,MAX(F69,-L18*F70/13))</x:f>
        <x:v>748.5642017982019</x:v>
      </x:c>
      <x:c r="M43" s="31" t="n">
        <x:f>IF(10&lt;'Revenue Model'!$D$75,0,MAX(G69,-M18*G70/13))</x:f>
        <x:v>993.2881798142155</x:v>
      </x:c>
      <x:c r="N43" s="31" t="n">
        <x:f>IF(11&lt;'Revenue Model'!$D$75,0,MAX(G69,-N18*G70/13))</x:f>
        <x:v>1290.3115296941864</x:v>
      </x:c>
      <x:c r="O43" s="31" t="n">
        <x:f>IF(12&lt;'Revenue Model'!$D$75,0,MAX(G69,-O18*G70/13))</x:f>
        <x:v>1462.1335729047073</x:v>
      </x:c>
      <x:c r="P43" s="31" t="n">
        <x:f>IF(13&lt;'Revenue Model'!$D$75,0,MAX(G69,-P18*G70/13))</x:f>
        <x:v>1650.0627788461538</x:v>
      </x:c>
      <x:c r="Q43" s="31" t="n">
        <x:f>IF(14&lt;'Revenue Model'!$D$75,0,MAX(H69,-Q18*H70/13))</x:f>
        <x:v>2388.166998076923</x:v>
      </x:c>
      <x:c r="R43" s="31" t="n">
        <x:f>IF(15&lt;'Revenue Model'!$D$75,0,MAX(H69,-R18*H70/13))</x:f>
        <x:v>2677.186523076923</x:v>
      </x:c>
      <x:c r="S43" s="31" t="n">
        <x:f>IF(16&lt;'Revenue Model'!$D$75,0,MAX(H69,-S18*H70/13))</x:f>
        <x:v>2978.7958615384614</x:v>
      </x:c>
      <x:c r="T43" s="31" t="n">
        <x:f>IF(17&lt;'Revenue Model'!$D$75,0,MAX(H69,-T18*H70/13))</x:f>
        <x:v>3210.274430769231</x:v>
      </x:c>
      <x:c r="U43" s="31" t="n">
        <x:f>IF(18&lt;'Revenue Model'!$D$75,0,MAX(I69,-U18*I70/13))</x:f>
        <x:v>3635.693307692308</x:v>
      </x:c>
      <x:c r="V43" s="31" t="n">
        <x:f>IF(19&lt;'Revenue Model'!$D$75,0,MAX(I69,-V18*I70/13))</x:f>
        <x:v>3932.812153846154</x:v>
      </x:c>
      <x:c r="W43" s="31" t="n">
        <x:f>IF(20&lt;'Revenue Model'!$D$75,0,MAX(I69,-W18*I70/13))</x:f>
        <x:v>4165.022076923076</x:v>
      </x:c>
      <x:c r="X43" s="31" t="n">
        <x:f>IF(21&lt;'Revenue Model'!$D$75,0,MAX(I69,-X18*I70/13))</x:f>
        <x:v>4410.491307692308</x:v>
      </x:c>
    </x:row>
    <x:row r="44" ht="21" customHeight="1">
      <x:c r="A44" s="1"/>
      <x:c r="B44" s="1"/>
      <x:c r="C44" s="1" t="str">
        <x:v>Shortfall without early funding</x:v>
      </x:c>
      <x:c r="D44" s="2" t="n">
        <x:f>MAX(0,-D42)</x:f>
        <x:v>0</x:v>
      </x:c>
      <x:c r="E44" s="2" t="n">
        <x:f>MAX(0,-E42)</x:f>
        <x:v>0</x:v>
      </x:c>
      <x:c r="F44" s="2" t="n">
        <x:f>MAX(0,-F42)</x:f>
        <x:v>199</x:v>
      </x:c>
      <x:c r="G44" s="2" t="n">
        <x:f>MAX(0,-G42)</x:f>
        <x:v>0</x:v>
      </x:c>
      <x:c r="H44" s="2" t="n">
        <x:f>MAX(0,-H42)</x:f>
        <x:v>0</x:v>
      </x:c>
      <x:c r="I44" s="2" t="n">
        <x:f>MAX(0,-I42)</x:f>
        <x:v>0</x:v>
      </x:c>
      <x:c r="J44" s="2" t="n">
        <x:f>MAX(0,-J42)</x:f>
        <x:v>0</x:v>
      </x:c>
      <x:c r="K44" s="2" t="n">
        <x:f>MAX(0,-K42)</x:f>
        <x:v>0</x:v>
      </x:c>
      <x:c r="L44" s="2" t="n">
        <x:f>MAX(0,-L42)</x:f>
        <x:v>0</x:v>
      </x:c>
      <x:c r="M44" s="2" t="n">
        <x:f>MAX(0,-M42)</x:f>
        <x:v>0</x:v>
      </x:c>
      <x:c r="N44" s="2" t="n">
        <x:f>MAX(0,-N42)</x:f>
        <x:v>0</x:v>
      </x:c>
      <x:c r="O44" s="2" t="n">
        <x:f>MAX(0,-O42)</x:f>
        <x:v>0</x:v>
      </x:c>
      <x:c r="P44" s="2" t="n">
        <x:f>MAX(0,-P42)</x:f>
        <x:v>0</x:v>
      </x:c>
      <x:c r="Q44" s="2" t="n">
        <x:f>MAX(0,-Q42)</x:f>
        <x:v>0</x:v>
      </x:c>
      <x:c r="R44" s="2" t="n">
        <x:f>MAX(0,-R42)</x:f>
        <x:v>0</x:v>
      </x:c>
      <x:c r="S44" s="2" t="n">
        <x:f>MAX(0,-S42)</x:f>
        <x:v>0</x:v>
      </x:c>
      <x:c r="T44" s="2" t="n">
        <x:f>MAX(0,-T42)</x:f>
        <x:v>0</x:v>
      </x:c>
      <x:c r="U44" s="2" t="n">
        <x:f>MAX(0,-U42)</x:f>
        <x:v>0</x:v>
      </x:c>
      <x:c r="V44" s="2" t="n">
        <x:f>MAX(0,-V42)</x:f>
        <x:v>0</x:v>
      </x:c>
      <x:c r="W44" s="2" t="n">
        <x:f>MAX(0,-W42)</x:f>
        <x:v>0</x:v>
      </x:c>
      <x:c r="X44" s="2" t="n">
        <x:f>MAX(0,-X42)</x:f>
        <x:v>0</x:v>
      </x:c>
    </x:row>
    <x:row r="45" ht="21" customHeight="1">
      <x:c r="A45" s="1"/>
      <x:c r="B45" s="1"/>
      <x:c r="C45" s="1" t="str">
        <x:v>Cash above post-launch buffer target</x:v>
      </x:c>
      <x:c r="D45" s="2" t="n">
        <x:f>D41-D43</x:f>
        <x:v>127</x:v>
      </x:c>
      <x:c r="E45" s="2" t="n">
        <x:f>E41-E43</x:f>
        <x:v>6</x:v>
      </x:c>
      <x:c r="F45" s="2" t="n">
        <x:f>F41-F43</x:f>
        <x:v>0</x:v>
      </x:c>
      <x:c r="G45" s="2" t="n">
        <x:f>G41-G43</x:f>
        <x:v>491</x:v>
      </x:c>
      <x:c r="H45" s="2" t="n">
        <x:f>H41-H43</x:f>
        <x:v>1436.5178187565857</x:v>
      </x:c>
      <x:c r="I45" s="2" t="n">
        <x:f>I41-I43</x:f>
        <x:v>1355.5940903283106</x:v>
      </x:c>
      <x:c r="J45" s="2" t="n">
        <x:f>J41-J43</x:f>
        <x:v>4552.700094013763</x:v>
      </x:c>
      <x:c r="K45" s="2" t="n">
        <x:f>K41-K43</x:f>
        <x:v>3161.2420917650356</x:v>
      </x:c>
      <x:c r="L45" s="2" t="n">
        <x:f>L41-L43</x:f>
        <x:v>7514.872272672484</x:v>
      </x:c>
      <x:c r="M45" s="2" t="n">
        <x:f>M41-M43</x:f>
        <x:v>5216.256898469511</x:v>
      </x:c>
      <x:c r="N45" s="2" t="n">
        <x:f>N41-N43</x:f>
        <x:v>3054.0772069880773</x:v>
      </x:c>
      <x:c r="O45" s="2" t="n">
        <x:f>O41-O43</x:f>
        <x:v>1734.643933922458</x:v>
      </x:c>
      <x:c r="P45" s="2" t="n">
        <x:f>P41-P43</x:f>
        <x:v>1620.6162924495734</x:v>
      </x:c>
      <x:c r="Q45" s="2" t="n">
        <x:f>Q41-Q43</x:f>
        <x:v>-425.30557719774333</x:v>
      </x:c>
      <x:c r="R45" s="2" t="n">
        <x:f>R41-R43</x:f>
        <x:v>1751.0819952937368</x:v>
      </x:c>
      <x:c r="S45" s="2" t="n">
        <x:f>S41-S43</x:f>
        <x:v>7204.8335904565265</x:v>
      </x:c>
      <x:c r="T45" s="2" t="n">
        <x:f>T41-T43</x:f>
        <x:v>6792.436806362145</x:v>
      </x:c>
      <x:c r="U45" s="2" t="n">
        <x:f>U41-U43</x:f>
        <x:v>18781.077445446375</x:v>
      </x:c>
      <x:c r="V45" s="2" t="n">
        <x:f>V41-V43</x:f>
        <x:v>34974.9909202763</x:v>
      </x:c>
      <x:c r="W45" s="2" t="n">
        <x:f>W41-W43</x:f>
        <x:v>55546.97793031379</x:v>
      </x:c>
      <x:c r="X45" s="2" t="n">
        <x:f>X41-X43</x:f>
        <x:v>51664.03839933532</x:v>
      </x:c>
    </x:row>
    <x:row r="46" ht="23" customHeight="1">
      <x:c r="A46" s="1"/>
      <x:c r="B46" s="1"/>
      <x:c r="C46" s="13" t="str">
        <x:v>Working capital and tax calculations</x:v>
      </x:c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</x:row>
    <x:row r="48" ht="21" customHeight="1">
      <x:c r="A48" s="1"/>
      <x:c r="B48" s="1"/>
      <x:c r="C48" s="1" t="str">
        <x:v>Accounts receivable</x:v>
      </x:c>
      <x:c r="D48" s="31" t="n">
        <x:f>IF('Revenue Model'!D7=0,0,D7*MIN(1,D63/('Revenue Model'!D7*365/12)))</x:f>
        <x:v>0</x:v>
      </x:c>
      <x:c r="E48" s="31" t="n">
        <x:f>IF('Revenue Model'!E7=0,0,E7*MIN(1,E63/('Revenue Model'!E7*365/12)))</x:f>
        <x:v>0</x:v>
      </x:c>
      <x:c r="F48" s="31" t="n">
        <x:f>IF('Revenue Model'!F7=0,0,F7*MIN(1,E63/('Revenue Model'!F7*365/12)))</x:f>
        <x:v>0</x:v>
      </x:c>
      <x:c r="G48" s="31" t="n">
        <x:f>IF('Revenue Model'!G7=0,0,G7*MIN(1,E63/('Revenue Model'!G7*365/12)))</x:f>
        <x:v>0</x:v>
      </x:c>
      <x:c r="H48" s="31" t="n">
        <x:f>IF('Revenue Model'!H7=0,0,H7*MIN(1,E63/('Revenue Model'!H7*365/12)))</x:f>
        <x:v>18.641095890410956</x:v>
      </x:c>
      <x:c r="I48" s="31" t="n">
        <x:f>IF('Revenue Model'!I7=0,0,I7*MIN(1,F63/('Revenue Model'!I7*365/12)))</x:f>
        <x:v>143.2100120547945</x:v>
      </x:c>
      <x:c r="J48" s="31" t="n">
        <x:f>IF('Revenue Model'!J7=0,0,J7*MIN(1,F63/('Revenue Model'!J7*365/12)))</x:f>
        <x:v>250.98918312328766</x:v>
      </x:c>
      <x:c r="K48" s="31" t="n">
        <x:f>IF('Revenue Model'!K7=0,0,K7*MIN(1,F63/('Revenue Model'!K7*365/12)))</x:f>
        <x:v>352.2011797873972</x:v>
      </x:c>
      <x:c r="L48" s="31" t="n">
        <x:f>IF('Revenue Model'!L7=0,0,L7*MIN(1,F63/('Revenue Model'!L7*365/12)))</x:f>
        <x:v>552.041479492023</x:v>
      </x:c>
      <x:c r="M48" s="31" t="n">
        <x:f>IF('Revenue Model'!M7=0,0,M7*MIN(1,G63/('Revenue Model'!M7*365/12)))</x:f>
        <x:v>1560.9757038492364</x:v>
      </x:c>
      <x:c r="N48" s="31" t="n">
        <x:f>IF('Revenue Model'!N7=0,0,N7*MIN(1,G63/('Revenue Model'!N7*365/12)))</x:f>
        <x:v>2505.1343482816737</x:v>
      </x:c>
      <x:c r="O48" s="31" t="n">
        <x:f>IF('Revenue Model'!O7=0,0,O7*MIN(1,G63/('Revenue Model'!O7*365/12)))</x:f>
        <x:v>3954.3265132799957</x:v>
      </x:c>
      <x:c r="P48" s="31" t="n">
        <x:f>IF('Revenue Model'!P7=0,0,P7*MIN(1,G63/('Revenue Model'!P7*365/12)))</x:f>
        <x:v>5964.50819002854</x:v>
      </x:c>
      <x:c r="Q48" s="31" t="n">
        <x:f>IF('Revenue Model'!Q7=0,0,Q7*MIN(1,H63/('Revenue Model'!Q7*365/12)))</x:f>
        <x:v>10453.212550776649</x:v>
      </x:c>
      <x:c r="R48" s="31" t="n">
        <x:f>IF('Revenue Model'!R7=0,0,R7*MIN(1,H63/('Revenue Model'!R7*365/12)))</x:f>
        <x:v>14059.525449570128</x:v>
      </x:c>
      <x:c r="S48" s="31" t="n">
        <x:f>IF('Revenue Model'!S7=0,0,S7*MIN(1,H63/('Revenue Model'!S7*365/12)))</x:f>
        <x:v>18095.239774733145</x:v>
      </x:c>
      <x:c r="T48" s="31" t="n">
        <x:f>IF('Revenue Model'!T7=0,0,T7*MIN(1,H63/('Revenue Model'!T7*365/12)))</x:f>
        <x:v>22525.510068212392</x:v>
      </x:c>
      <x:c r="U48" s="31" t="n">
        <x:f>IF('Revenue Model'!U7=0,0,U7*MIN(1,I63/('Revenue Model'!U7*365/12)))</x:f>
        <x:v>27640.840237410295</x:v>
      </x:c>
      <x:c r="V48" s="31" t="n">
        <x:f>IF('Revenue Model'!V7=0,0,V7*MIN(1,I63/('Revenue Model'!V7*365/12)))</x:f>
        <x:v>32853.376382432885</x:v>
      </x:c>
      <x:c r="W48" s="31" t="n">
        <x:f>IF('Revenue Model'!W7=0,0,W7*MIN(1,I63/('Revenue Model'!W7*365/12)))</x:f>
        <x:v>38255.409928361616</x:v>
      </x:c>
      <x:c r="X48" s="31" t="n">
        <x:f>IF('Revenue Model'!X7=0,0,X7*MIN(1,I63/('Revenue Model'!X7*365/12)))</x:f>
        <x:v>43695.651977459755</x:v>
      </x:c>
    </x:row>
    <x:row r="49" ht="21" customHeight="1">
      <x:c r="A49" s="1"/>
      <x:c r="B49" s="1"/>
      <x:c r="C49" s="1" t="str">
        <x:v>Inventory</x:v>
      </x:c>
      <x:c r="D49" s="31" t="n">
        <x:f>IF('Revenue Model'!D7=0,0,-SUM('Revenue Model'!D63:D66)*D64/('Revenue Model'!D7*365/12))</x:f>
        <x:v>0</x:v>
      </x:c>
      <x:c r="E49" s="31" t="n">
        <x:f>IF('Revenue Model'!E7=0,0,-SUM('Revenue Model'!E63:E66)*E64/('Revenue Model'!E7*365/12))</x:f>
        <x:v>0</x:v>
      </x:c>
      <x:c r="F49" s="31" t="n">
        <x:f>IF('Revenue Model'!F7=0,0,-SUM('Revenue Model'!F63:F66)*E64/('Revenue Model'!F7*365/12))</x:f>
        <x:v>0</x:v>
      </x:c>
      <x:c r="G49" s="31" t="n">
        <x:f>IF('Revenue Model'!G7=0,0,-SUM('Revenue Model'!G63:G66)*E64/('Revenue Model'!G7*365/12))</x:f>
        <x:v>0</x:v>
      </x:c>
      <x:c r="H49" s="31" t="n">
        <x:f>IF('Revenue Model'!H7=0,0,-SUM('Revenue Model'!H63:H66)*E64/('Revenue Model'!H7*365/12))</x:f>
        <x:v>10.741931506849314</x:v>
      </x:c>
      <x:c r="I49" s="31" t="n">
        <x:f>IF('Revenue Model'!I7=0,0,-SUM('Revenue Model'!I63:I66)*F64/('Revenue Model'!I7*365/12))</x:f>
        <x:v>91.37097123287668</x:v>
      </x:c>
      <x:c r="J49" s="31" t="n">
        <x:f>IF('Revenue Model'!J7=0,0,-SUM('Revenue Model'!J63:J66)*F64/('Revenue Model'!J7*365/12))</x:f>
        <x:v>160.1363277739726</x:v>
      </x:c>
      <x:c r="K49" s="31" t="n">
        <x:f>IF('Revenue Model'!K7=0,0,-SUM('Revenue Model'!K63:K66)*F64/('Revenue Model'!K7*365/12))</x:f>
        <x:v>128.40668013082194</x:v>
      </x:c>
      <x:c r="L49" s="31" t="n">
        <x:f>IF('Revenue Model'!L7=0,0,-SUM('Revenue Model'!L63:L66)*F64/('Revenue Model'!L7*365/12))</x:f>
        <x:v>201.2651227314667</x:v>
      </x:c>
      <x:c r="M49" s="31" t="n">
        <x:f>IF('Revenue Model'!M7=0,0,-SUM('Revenue Model'!M63:M66)*G64/('Revenue Model'!M7*365/12))</x:f>
        <x:v>391.4242960136367</x:v>
      </x:c>
      <x:c r="N49" s="31" t="n">
        <x:f>IF('Revenue Model'!N7=0,0,-SUM('Revenue Model'!N63:N66)*G64/('Revenue Model'!N7*365/12))</x:f>
        <x:v>628.1779058301353</x:v>
      </x:c>
      <x:c r="O49" s="31" t="n">
        <x:f>IF('Revenue Model'!O7=0,0,-SUM('Revenue Model'!O63:O66)*G64/('Revenue Model'!O7*365/12))</x:f>
        <x:v>654.7807116266811</x:v>
      </x:c>
      <x:c r="P49" s="31" t="n">
        <x:f>IF('Revenue Model'!P7=0,0,-SUM('Revenue Model'!P63:P66)*G64/('Revenue Model'!P7*365/12))</x:f>
        <x:v>987.6384522254853</x:v>
      </x:c>
      <x:c r="Q49" s="31" t="n">
        <x:f>IF('Revenue Model'!Q7=0,0,-SUM('Revenue Model'!Q63:Q66)*H64/('Revenue Model'!Q7*365/12))</x:f>
        <x:v>1972.2650700107727</x:v>
      </x:c>
      <x:c r="R49" s="31" t="n">
        <x:f>IF('Revenue Model'!R7=0,0,-SUM('Revenue Model'!R63:R66)*H64/('Revenue Model'!R7*365/12))</x:f>
        <x:v>2652.687947405649</x:v>
      </x:c>
      <x:c r="S49" s="31" t="n">
        <x:f>IF('Revenue Model'!S7=0,0,-SUM('Revenue Model'!S63:S66)*H64/('Revenue Model'!S7*365/12))</x:f>
        <x:v>2741.848251959565</x:v>
      </x:c>
      <x:c r="T49" s="31" t="n">
        <x:f>IF('Revenue Model'!T7=0,0,-SUM('Revenue Model'!T63:T66)*H64/('Revenue Model'!T7*365/12))</x:f>
        <x:v>3413.136889805958</x:v>
      </x:c>
      <x:c r="U49" s="31" t="n">
        <x:f>IF('Revenue Model'!U7=0,0,-SUM('Revenue Model'!U63:U66)*I64/('Revenue Model'!U7*365/12))</x:f>
        <x:v>4091.182469390392</x:v>
      </x:c>
      <x:c r="V49" s="31" t="n">
        <x:f>IF('Revenue Model'!V7=0,0,-SUM('Revenue Model'!V63:V66)*I64/('Revenue Model'!V7*365/12))</x:f>
        <x:v>4862.701580763765</x:v>
      </x:c>
      <x:c r="W49" s="31" t="n">
        <x:f>IF('Revenue Model'!W7=0,0,-SUM('Revenue Model'!W63:W66)*I64/('Revenue Model'!W7*365/12))</x:f>
        <x:v>5662.268625482269</x:v>
      </x:c>
      <x:c r="X49" s="31" t="n">
        <x:f>IF('Revenue Model'!X7=0,0,-SUM('Revenue Model'!X63:X66)*I64/('Revenue Model'!X7*365/12))</x:f>
        <x:v>6467.490996052146</x:v>
      </x:c>
    </x:row>
    <x:row r="50" ht="21" customHeight="1">
      <x:c r="A50" s="1"/>
      <x:c r="B50" s="1"/>
      <x:c r="C50" s="1" t="str">
        <x:v>Supplier payables</x:v>
      </x:c>
      <x:c r="D50" s="31" t="n">
        <x:f>IF('Revenue Model'!D7=0,0,-SUM('Revenue Model'!D63:D66)*MIN(1,D65/('Revenue Model'!D7*365/12)))</x:f>
        <x:v>0</x:v>
      </x:c>
      <x:c r="E50" s="31" t="n">
        <x:f>IF('Revenue Model'!E7=0,0,-SUM('Revenue Model'!E63:E66)*MIN(1,E65/('Revenue Model'!E7*365/12)))</x:f>
        <x:v>0</x:v>
      </x:c>
      <x:c r="F50" s="31" t="n">
        <x:f>IF('Revenue Model'!F7=0,0,-SUM('Revenue Model'!F63:F66)*MIN(1,E65/('Revenue Model'!F7*365/12)))</x:f>
        <x:v>0</x:v>
      </x:c>
      <x:c r="G50" s="31" t="n">
        <x:f>IF('Revenue Model'!G7=0,0,-SUM('Revenue Model'!G63:G66)*MIN(1,E65/('Revenue Model'!G7*365/12)))</x:f>
        <x:v>0</x:v>
      </x:c>
      <x:c r="H50" s="31" t="n">
        <x:f>IF('Revenue Model'!H7=0,0,-SUM('Revenue Model'!H63:H66)*MIN(1,E65/('Revenue Model'!H7*365/12)))</x:f>
        <x:v>21.782249999999998</x:v>
      </x:c>
      <x:c r="I50" s="31" t="n">
        <x:f>IF('Revenue Model'!I7=0,0,-SUM('Revenue Model'!I63:I66)*MIN(1,F65/('Revenue Model'!I7*365/12)))</x:f>
        <x:v>137.05645684931503</x:v>
      </x:c>
      <x:c r="J50" s="31" t="n">
        <x:f>IF('Revenue Model'!J7=0,0,-SUM('Revenue Model'!J63:J66)*MIN(1,F65/('Revenue Model'!J7*365/12)))</x:f>
        <x:v>240.20449166095887</x:v>
      </x:c>
      <x:c r="K50" s="31" t="n">
        <x:f>IF('Revenue Model'!K7=0,0,-SUM('Revenue Model'!K63:K66)*MIN(1,F65/('Revenue Model'!K7*365/12)))</x:f>
        <x:v>192.61002019623288</x:v>
      </x:c>
      <x:c r="L50" s="31" t="n">
        <x:f>IF('Revenue Model'!L7=0,0,-SUM('Revenue Model'!L63:L66)*MIN(1,F65/('Revenue Model'!L7*365/12)))</x:f>
        <x:v>301.89768409720006</x:v>
      </x:c>
      <x:c r="M50" s="31" t="n">
        <x:f>IF('Revenue Model'!M7=0,0,-SUM('Revenue Model'!M63:M66)*MIN(1,G65/('Revenue Model'!M7*365/12)))</x:f>
        <x:v>463.5287715950961</x:v>
      </x:c>
      <x:c r="N50" s="31" t="n">
        <x:f>IF('Revenue Model'!N7=0,0,-SUM('Revenue Model'!N63:N66)*MIN(1,G65/('Revenue Model'!N7*365/12)))</x:f>
        <x:v>743.8948884830548</x:v>
      </x:c>
      <x:c r="O50" s="31" t="n">
        <x:f>IF('Revenue Model'!O7=0,0,-SUM('Revenue Model'!O63:O66)*MIN(1,G65/('Revenue Model'!O7*365/12)))</x:f>
        <x:v>775.398211136859</x:v>
      </x:c>
      <x:c r="P50" s="31" t="n">
        <x:f>IF('Revenue Model'!P7=0,0,-SUM('Revenue Model'!P63:P66)*MIN(1,G65/('Revenue Model'!P7*365/12)))</x:f>
        <x:v>1169.5718513196534</x:v>
      </x:c>
      <x:c r="Q50" s="31" t="n">
        <x:f>IF('Revenue Model'!Q7=0,0,-SUM('Revenue Model'!Q63:Q66)*MIN(1,H65/('Revenue Model'!Q7*365/12)))</x:f>
        <x:v>1613.671420917905</x:v>
      </x:c>
      <x:c r="R50" s="31" t="n">
        <x:f>IF('Revenue Model'!R7=0,0,-SUM('Revenue Model'!R63:R66)*MIN(1,H65/('Revenue Model'!R7*365/12)))</x:f>
        <x:v>2170.381047877349</x:v>
      </x:c>
      <x:c r="S50" s="31" t="n">
        <x:f>IF('Revenue Model'!S7=0,0,-SUM('Revenue Model'!S63:S66)*MIN(1,H65/('Revenue Model'!S7*365/12)))</x:f>
        <x:v>2243.3303879669165</x:v>
      </x:c>
      <x:c r="T50" s="31" t="n">
        <x:f>IF('Revenue Model'!T7=0,0,-SUM('Revenue Model'!T63:T66)*MIN(1,H65/('Revenue Model'!T7*365/12)))</x:f>
        <x:v>2792.566546204874</x:v>
      </x:c>
      <x:c r="U50" s="31" t="n">
        <x:f>IF('Revenue Model'!U7=0,0,-SUM('Revenue Model'!U63:U66)*MIN(1,I65/('Revenue Model'!U7*365/12)))</x:f>
        <x:v>3347.3311113194113</x:v>
      </x:c>
      <x:c r="V50" s="31" t="n">
        <x:f>IF('Revenue Model'!V7=0,0,-SUM('Revenue Model'!V63:V66)*MIN(1,I65/('Revenue Model'!V7*365/12)))</x:f>
        <x:v>3978.5740206248993</x:v>
      </x:c>
      <x:c r="W50" s="31" t="n">
        <x:f>IF('Revenue Model'!W7=0,0,-SUM('Revenue Model'!W63:W66)*MIN(1,I65/('Revenue Model'!W7*365/12)))</x:f>
        <x:v>4632.765239030948</x:v>
      </x:c>
      <x:c r="X50" s="31" t="n">
        <x:f>IF('Revenue Model'!X7=0,0,-SUM('Revenue Model'!X63:X66)*MIN(1,I65/('Revenue Model'!X7*365/12)))</x:f>
        <x:v>5291.583542224484</x:v>
      </x:c>
    </x:row>
    <x:row r="51" ht="21" customHeight="1">
      <x:c r="A51" s="1"/>
      <x:c r="B51" s="1"/>
      <x:c r="C51" s="1" t="str">
        <x:v>Net working capital</x:v>
      </x:c>
      <x:c r="D51" s="2" t="n">
        <x:f>SUM(D48:D49)-D50</x:f>
        <x:v>0</x:v>
      </x:c>
      <x:c r="E51" s="2" t="n">
        <x:f>SUM(E48:E49)-E50</x:f>
        <x:v>0</x:v>
      </x:c>
      <x:c r="F51" s="2" t="n">
        <x:f>SUM(F48:F49)-F50</x:f>
        <x:v>0</x:v>
      </x:c>
      <x:c r="G51" s="2" t="n">
        <x:f>SUM(G48:G49)-G50</x:f>
        <x:v>0</x:v>
      </x:c>
      <x:c r="H51" s="2" t="n">
        <x:f>SUM(H48:H49)-H50</x:f>
        <x:v>7.6007773972602735</x:v>
      </x:c>
      <x:c r="I51" s="2" t="n">
        <x:f>SUM(I48:I49)-I50</x:f>
        <x:v>97.52452643835616</x:v>
      </x:c>
      <x:c r="J51" s="2" t="n">
        <x:f>SUM(J48:J49)-J50</x:f>
        <x:v>170.9210192363014</x:v>
      </x:c>
      <x:c r="K51" s="2" t="n">
        <x:f>SUM(K48:K49)-K50</x:f>
        <x:v>287.9978397219863</x:v>
      </x:c>
      <x:c r="L51" s="2" t="n">
        <x:f>SUM(L48:L49)-L50</x:f>
        <x:v>451.4089181262896</x:v>
      </x:c>
      <x:c r="M51" s="2" t="n">
        <x:f>SUM(M48:M49)-M50</x:f>
        <x:v>1488.871228267777</x:v>
      </x:c>
      <x:c r="N51" s="2" t="n">
        <x:f>SUM(N48:N49)-N50</x:f>
        <x:v>2389.4173656287544</x:v>
      </x:c>
      <x:c r="O51" s="2" t="n">
        <x:f>SUM(O48:O49)-O50</x:f>
        <x:v>3833.7090137698174</x:v>
      </x:c>
      <x:c r="P51" s="2" t="n">
        <x:f>SUM(P48:P49)-P50</x:f>
        <x:v>5782.574790934372</x:v>
      </x:c>
      <x:c r="Q51" s="2" t="n">
        <x:f>SUM(Q48:Q49)-Q50</x:f>
        <x:v>10811.806199869518</x:v>
      </x:c>
      <x:c r="R51" s="2" t="n">
        <x:f>SUM(R48:R49)-R50</x:f>
        <x:v>14541.83234909843</x:v>
      </x:c>
      <x:c r="S51" s="2" t="n">
        <x:f>SUM(S48:S49)-S50</x:f>
        <x:v>18593.757638725794</x:v>
      </x:c>
      <x:c r="T51" s="2" t="n">
        <x:f>SUM(T48:T49)-T50</x:f>
        <x:v>23146.080411813477</x:v>
      </x:c>
      <x:c r="U51" s="2" t="n">
        <x:f>SUM(U48:U49)-U50</x:f>
        <x:v>28384.691595481276</x:v>
      </x:c>
      <x:c r="V51" s="2" t="n">
        <x:f>SUM(V48:V49)-V50</x:f>
        <x:v>33737.503942571755</x:v>
      </x:c>
      <x:c r="W51" s="2" t="n">
        <x:f>SUM(W48:W49)-W50</x:f>
        <x:v>39284.91331481294</x:v>
      </x:c>
      <x:c r="X51" s="2" t="n">
        <x:f>SUM(X48:X49)-X50</x:f>
        <x:v>44871.55943128742</x:v>
      </x:c>
    </x:row>
    <x:row r="52" ht="21" customHeight="1">
      <x:c r="A52" s="1"/>
      <x:c r="B52" s="1"/>
      <x:c r="C52" s="1" t="str">
        <x:v>Net fixed assets</x:v>
      </x:c>
      <x:c r="D52" s="2" t="n">
        <x:f>0-D21+D22</x:f>
        <x:v>0</x:v>
      </x:c>
      <x:c r="E52" s="2" t="n">
        <x:f>D52-E21+E22</x:f>
        <x:v>0</x:v>
      </x:c>
      <x:c r="F52" s="2" t="n">
        <x:f>E52-F21+F22</x:f>
        <x:v>0</x:v>
      </x:c>
      <x:c r="G52" s="2" t="n">
        <x:f>F52-G21+G22</x:f>
        <x:v>0</x:v>
      </x:c>
      <x:c r="H52" s="2" t="n">
        <x:f>G52-H21+H22</x:f>
        <x:v>0</x:v>
      </x:c>
      <x:c r="I52" s="2" t="n">
        <x:f>H52-I21+I22</x:f>
        <x:v>4.75</x:v>
      </x:c>
      <x:c r="J52" s="2" t="n">
        <x:f>I52-J21+J22</x:f>
        <x:v>11.15</x:v>
      </x:c>
      <x:c r="K52" s="2" t="n">
        <x:f>J52-K21+K22</x:f>
        <x:v>217.65</x:v>
      </x:c>
      <x:c r="L52" s="2" t="n">
        <x:f>K52-L21+L22</x:f>
        <x:v>251.74999999999997</x:v>
      </x:c>
      <x:c r="M52" s="2" t="n">
        <x:f>L52-M21+M22</x:f>
        <x:v>285.35</x:v>
      </x:c>
      <x:c r="N52" s="2" t="n">
        <x:f>M52-N21+N22</x:f>
        <x:v>321.20000000000005</x:v>
      </x:c>
      <x:c r="O52" s="2" t="n">
        <x:f>N52-O21+O22</x:f>
        <x:v>606.0500000000001</x:v>
      </x:c>
      <x:c r="P52" s="2" t="n">
        <x:f>O52-P21+P22</x:f>
        <x:v>632.6500000000001</x:v>
      </x:c>
      <x:c r="Q52" s="2" t="n">
        <x:f>P52-Q21+Q22</x:f>
        <x:v>694.0000000000001</x:v>
      </x:c>
      <x:c r="R52" s="2" t="n">
        <x:f>Q52-R21+R22</x:f>
        <x:v>754.8500000000001</x:v>
      </x:c>
      <x:c r="S52" s="2" t="n">
        <x:f>R52-S21+S22</x:f>
        <x:v>1118.95</x:v>
      </x:c>
      <x:c r="T52" s="2" t="n">
        <x:f>S52-T21+T22</x:f>
        <x:v>1162.05</x:v>
      </x:c>
      <x:c r="U52" s="2" t="n">
        <x:f>T52-U21+U22</x:f>
        <x:v>1213.3999999999999</x:v>
      </x:c>
      <x:c r="V52" s="2" t="n">
        <x:f>U52-V21+V22</x:f>
        <x:v>1262.7499999999998</x:v>
      </x:c>
      <x:c r="W52" s="2" t="n">
        <x:f>V52-W21+W22</x:f>
        <x:v>1309.8499999999997</x:v>
      </x:c>
      <x:c r="X52" s="2" t="n">
        <x:f>W52-X21+X22</x:f>
        <x:v>1354.4499999999996</x:v>
      </x:c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</x:row>
    <x:row r="54" ht="21" customHeight="1">
      <x:c r="A54" s="1"/>
      <x:c r="B54" s="1"/>
      <x:c r="C54" s="1" t="str">
        <x:v>Opening tax-loss carryforward</x:v>
      </x:c>
      <x:c r="D54" s="2" t="n">
        <x:f>0</x:f>
        <x:v>0</x:v>
      </x:c>
      <x:c r="E54" s="2" t="n">
        <x:f>D56</x:f>
        <x:v>123</x:v>
      </x:c>
      <x:c r="F54" s="2" t="n">
        <x:f>E56</x:f>
        <x:v>123</x:v>
      </x:c>
      <x:c r="G54" s="2" t="n">
        <x:f>F56</x:f>
        <x:v>123</x:v>
      </x:c>
      <x:c r="H54" s="2" t="n">
        <x:f>G56</x:f>
        <x:v>123</x:v>
      </x:c>
      <x:c r="I54" s="2" t="n">
        <x:f>H56</x:f>
        <x:v>1134.27125</x:v>
      </x:c>
      <x:c r="J54" s="2" t="n">
        <x:f>I56</x:f>
        <x:v>1134.27125</x:v>
      </x:c>
      <x:c r="K54" s="2" t="n">
        <x:f>J56</x:f>
        <x:v>1134.27125</x:v>
      </x:c>
      <x:c r="L54" s="2" t="n">
        <x:f>K56</x:f>
        <x:v>1134.27125</x:v>
      </x:c>
      <x:c r="M54" s="2" t="n">
        <x:f>L56</x:f>
        <x:v>3283.404607403025</x:v>
      </x:c>
      <x:c r="N54" s="2" t="n">
        <x:f>M56</x:f>
        <x:v>3283.404607403025</x:v>
      </x:c>
      <x:c r="O54" s="2" t="n">
        <x:f>N56</x:f>
        <x:v>3283.404607403025</x:v>
      </x:c>
      <x:c r="P54" s="2" t="n">
        <x:f>O56</x:f>
        <x:v>3283.404607403025</x:v>
      </x:c>
      <x:c r="Q54" s="2" t="n">
        <x:f>P56</x:f>
        <x:v>2671.435516342004</x:v>
      </x:c>
      <x:c r="R54" s="2" t="n">
        <x:f>Q56</x:f>
        <x:v>2671.435516342004</x:v>
      </x:c>
      <x:c r="S54" s="2" t="n">
        <x:f>R56</x:f>
        <x:v>2671.435516342004</x:v>
      </x:c>
      <x:c r="T54" s="2" t="n">
        <x:f>S56</x:f>
        <x:v>2671.435516342004</x:v>
      </x:c>
      <x:c r="U54" s="2" t="n">
        <x:f>T56</x:f>
        <x:v>0</x:v>
      </x:c>
      <x:c r="V54" s="2" t="n">
        <x:f>U56</x:f>
        <x:v>0</x:v>
      </x:c>
      <x:c r="W54" s="2" t="n">
        <x:f>V56</x:f>
        <x:v>0</x:v>
      </x:c>
      <x:c r="X54" s="2" t="n">
        <x:f>W56</x:f>
        <x:v>0</x:v>
      </x:c>
    </x:row>
    <x:row r="55" ht="21" customHeight="1">
      <x:c r="A55" s="1"/>
      <x:c r="B55" s="1"/>
      <x:c r="C55" s="1" t="str">
        <x:v>Tax losses used</x:v>
      </x:c>
      <x:c r="D55" s="2" t="n">
        <x:f>MIN(D54,MAX(0,D57)*D67)</x:f>
        <x:v>0</x:v>
      </x:c>
      <x:c r="E55" s="2" t="n">
        <x:f>0</x:f>
        <x:v>0</x:v>
      </x:c>
      <x:c r="F55" s="2" t="n">
        <x:f>0</x:f>
        <x:v>0</x:v>
      </x:c>
      <x:c r="G55" s="2" t="n">
        <x:f>0</x:f>
        <x:v>0</x:v>
      </x:c>
      <x:c r="H55" s="2" t="n">
        <x:f>MIN(H54,MAX(0,H57)*E67)</x:f>
        <x:v>0</x:v>
      </x:c>
      <x:c r="I55" s="2" t="n">
        <x:f>0</x:f>
        <x:v>0</x:v>
      </x:c>
      <x:c r="J55" s="2" t="n">
        <x:f>0</x:f>
        <x:v>0</x:v>
      </x:c>
      <x:c r="K55" s="2" t="n">
        <x:f>0</x:f>
        <x:v>0</x:v>
      </x:c>
      <x:c r="L55" s="2" t="n">
        <x:f>MIN(L54,MAX(0,L57)*F67)</x:f>
        <x:v>0</x:v>
      </x:c>
      <x:c r="M55" s="2" t="n">
        <x:f>0</x:f>
        <x:v>0</x:v>
      </x:c>
      <x:c r="N55" s="2" t="n">
        <x:f>0</x:f>
        <x:v>0</x:v>
      </x:c>
      <x:c r="O55" s="2" t="n">
        <x:f>0</x:f>
        <x:v>0</x:v>
      </x:c>
      <x:c r="P55" s="2" t="n">
        <x:f>MIN(P54,MAX(0,P57)*G67)</x:f>
        <x:v>611.9690910610207</x:v>
      </x:c>
      <x:c r="Q55" s="2" t="n">
        <x:f>0</x:f>
        <x:v>0</x:v>
      </x:c>
      <x:c r="R55" s="2" t="n">
        <x:f>0</x:f>
        <x:v>0</x:v>
      </x:c>
      <x:c r="S55" s="2" t="n">
        <x:f>0</x:f>
        <x:v>0</x:v>
      </x:c>
      <x:c r="T55" s="2" t="n">
        <x:f>MIN(T54,MAX(0,T57)*H67)</x:f>
        <x:v>2671.435516342004</x:v>
      </x:c>
      <x:c r="U55" s="2" t="n">
        <x:f>0</x:f>
        <x:v>0</x:v>
      </x:c>
      <x:c r="V55" s="2" t="n">
        <x:f>0</x:f>
        <x:v>0</x:v>
      </x:c>
      <x:c r="W55" s="2" t="n">
        <x:f>0</x:f>
        <x:v>0</x:v>
      </x:c>
      <x:c r="X55" s="2" t="n">
        <x:f>MIN(X54,MAX(0,X57)*I67)</x:f>
        <x:v>0</x:v>
      </x:c>
    </x:row>
    <x:row r="56" ht="21" customHeight="1">
      <x:c r="A56" s="1"/>
      <x:c r="B56" s="1"/>
      <x:c r="C56" s="1" t="str">
        <x:v>Closing tax-loss carryforward</x:v>
      </x:c>
      <x:c r="D56" s="2" t="n">
        <x:f>D54-D55+MAX(0,-D57)</x:f>
        <x:v>123</x:v>
      </x:c>
      <x:c r="E56" s="2" t="n">
        <x:f>E54-E55+0</x:f>
        <x:v>123</x:v>
      </x:c>
      <x:c r="F56" s="2" t="n">
        <x:f>F54-F55+0</x:f>
        <x:v>123</x:v>
      </x:c>
      <x:c r="G56" s="2" t="n">
        <x:f>G54-G55+0</x:f>
        <x:v>123</x:v>
      </x:c>
      <x:c r="H56" s="2" t="n">
        <x:f>H54-H55+MAX(0,-H57)</x:f>
        <x:v>1134.27125</x:v>
      </x:c>
      <x:c r="I56" s="2" t="n">
        <x:f>I54-I55+0</x:f>
        <x:v>1134.27125</x:v>
      </x:c>
      <x:c r="J56" s="2" t="n">
        <x:f>J54-J55+0</x:f>
        <x:v>1134.27125</x:v>
      </x:c>
      <x:c r="K56" s="2" t="n">
        <x:f>K54-K55+0</x:f>
        <x:v>1134.27125</x:v>
      </x:c>
      <x:c r="L56" s="2" t="n">
        <x:f>L54-L55+MAX(0,-L57)</x:f>
        <x:v>3283.404607403025</x:v>
      </x:c>
      <x:c r="M56" s="2" t="n">
        <x:f>M54-M55+0</x:f>
        <x:v>3283.404607403025</x:v>
      </x:c>
      <x:c r="N56" s="2" t="n">
        <x:f>N54-N55+0</x:f>
        <x:v>3283.404607403025</x:v>
      </x:c>
      <x:c r="O56" s="2" t="n">
        <x:f>O54-O55+0</x:f>
        <x:v>3283.404607403025</x:v>
      </x:c>
      <x:c r="P56" s="2" t="n">
        <x:f>P54-P55+MAX(0,-P57)</x:f>
        <x:v>2671.435516342004</x:v>
      </x:c>
      <x:c r="Q56" s="2" t="n">
        <x:f>Q54-Q55+0</x:f>
        <x:v>2671.435516342004</x:v>
      </x:c>
      <x:c r="R56" s="2" t="n">
        <x:f>R54-R55+0</x:f>
        <x:v>2671.435516342004</x:v>
      </x:c>
      <x:c r="S56" s="2" t="n">
        <x:f>S54-S55+0</x:f>
        <x:v>2671.435516342004</x:v>
      </x:c>
      <x:c r="T56" s="2" t="n">
        <x:f>T54-T55+MAX(0,-T57)</x:f>
        <x:v>0</x:v>
      </x:c>
      <x:c r="U56" s="2" t="n">
        <x:f>U54-U55+0</x:f>
        <x:v>0</x:v>
      </x:c>
      <x:c r="V56" s="2" t="n">
        <x:f>V54-V55+0</x:f>
        <x:v>0</x:v>
      </x:c>
      <x:c r="W56" s="2" t="n">
        <x:f>W54-W55+0</x:f>
        <x:v>0</x:v>
      </x:c>
      <x:c r="X56" s="2" t="n">
        <x:f>X54-X55+MAX(0,-X57)</x:f>
        <x:v>0</x:v>
      </x:c>
    </x:row>
    <x:row r="57" ht="21" customHeight="1">
      <x:c r="A57" s="1"/>
      <x:c r="B57" s="1"/>
      <x:c r="C57" s="1" t="str">
        <x:v>Year-to-date operating income</x:v>
      </x:c>
      <x:c r="D57" s="2" t="n">
        <x:f>SUM(D23:D23)</x:f>
        <x:v>-123</x:v>
      </x:c>
      <x:c r="E57" s="2" t="n">
        <x:f>SUM(E23:E23)</x:f>
        <x:v>-121</x:v>
      </x:c>
      <x:c r="F57" s="2" t="n">
        <x:f>SUM(E23:F23)</x:f>
        <x:v>-326</x:v>
      </x:c>
      <x:c r="G57" s="2" t="n">
        <x:f>SUM(E23:G23)</x:f>
        <x:v>-636</x:v>
      </x:c>
      <x:c r="H57" s="2" t="n">
        <x:f>SUM(E23:H23)</x:f>
        <x:v>-1011.27125</x:v>
      </x:c>
      <x:c r="I57" s="2" t="n">
        <x:f>SUM(I23:I23)</x:f>
        <x:v>-57.86013323333326</x:v>
      </x:c>
      <x:c r="J57" s="2" t="n">
        <x:f>SUM(I23:J23)</x:f>
        <x:v>-277.0319675191665</x:v>
      </x:c>
      <x:c r="K57" s="2" t="n">
        <x:f>SUM(I23:K23)</x:f>
        <x:v>-986.997759721769</x:v>
      </x:c>
      <x:c r="L57" s="2" t="n">
        <x:f>SUM(I23:L23)</x:f>
        <x:v>-2149.1333574030245</x:v>
      </x:c>
      <x:c r="M57" s="2" t="n">
        <x:f>SUM(M23:M23)</x:f>
        <x:v>-982.8290860454721</x:v>
      </x:c>
      <x:c r="N57" s="2" t="n">
        <x:f>SUM(M23:N23)</x:f>
        <x:v>-1911.589290285957</x:v>
      </x:c>
      <x:c r="O57" s="2" t="n">
        <x:f>SUM(M23:O23)</x:f>
        <x:v>-1330.0588719999923</x:v>
      </x:c>
      <x:c r="P57" s="2" t="n">
        <x:f>SUM(M23:P23)</x:f>
        <x:v>764.9613638262758</x:v>
      </x:c>
      <x:c r="Q57" s="2" t="n">
        <x:f>SUM(Q23:Q23)</x:f>
        <x:v>3782.763758518598</x:v>
      </x:c>
      <x:c r="R57" s="2" t="n">
        <x:f>SUM(Q23:R23)</x:f>
        <x:v>10039.04700523899</x:v>
      </x:c>
      <x:c r="S57" s="2" t="n">
        <x:f>SUM(Q23:S23)</x:f>
        <x:v>20210.433228490685</x:v>
      </x:c>
      <x:c r="T57" s="2" t="n">
        <x:f>SUM(Q23:T23)</x:f>
        <x:v>33962.06018905117</x:v>
      </x:c>
      <x:c r="U57" s="2" t="n">
        <x:f>SUM(U23:U23)</x:f>
        <x:v>17704.020699675108</x:v>
      </x:c>
      <x:c r="V57" s="2" t="n">
        <x:f>SUM(U23:V23)</x:f>
        <x:v>39597.21536774936</x:v>
      </x:c>
      <x:c r="W57" s="2" t="n">
        <x:f>SUM(U23:W23)</x:f>
        <x:v>65995.92167310495</x:v>
      </x:c>
      <x:c r="X57" s="2" t="n">
        <x:f>SUM(U23:X23)</x:f>
        <x:v>96906.63838279674</x:v>
      </x:c>
    </x:row>
    <x:row r="58" ht="21" customHeight="1">
      <x:c r="A58" s="1"/>
      <x:c r="B58" s="1"/>
      <x:c r="C58" s="1" t="str">
        <x:v>Taxable income after losses</x:v>
      </x:c>
      <x:c r="D58" s="2" t="n">
        <x:f>MAX(0,D57-D55)</x:f>
        <x:v>0</x:v>
      </x:c>
      <x:c r="E58" s="2" t="n">
        <x:f>0</x:f>
        <x:v>0</x:v>
      </x:c>
      <x:c r="F58" s="2" t="n">
        <x:f>0</x:f>
        <x:v>0</x:v>
      </x:c>
      <x:c r="G58" s="2" t="n">
        <x:f>0</x:f>
        <x:v>0</x:v>
      </x:c>
      <x:c r="H58" s="2" t="n">
        <x:f>MAX(0,H57-H55)</x:f>
        <x:v>0</x:v>
      </x:c>
      <x:c r="I58" s="2" t="n">
        <x:f>0</x:f>
        <x:v>0</x:v>
      </x:c>
      <x:c r="J58" s="2" t="n">
        <x:f>0</x:f>
        <x:v>0</x:v>
      </x:c>
      <x:c r="K58" s="2" t="n">
        <x:f>0</x:f>
        <x:v>0</x:v>
      </x:c>
      <x:c r="L58" s="2" t="n">
        <x:f>MAX(0,L57-L55)</x:f>
        <x:v>0</x:v>
      </x:c>
      <x:c r="M58" s="2" t="n">
        <x:f>0</x:f>
        <x:v>0</x:v>
      </x:c>
      <x:c r="N58" s="2" t="n">
        <x:f>0</x:f>
        <x:v>0</x:v>
      </x:c>
      <x:c r="O58" s="2" t="n">
        <x:f>0</x:f>
        <x:v>0</x:v>
      </x:c>
      <x:c r="P58" s="2" t="n">
        <x:f>MAX(0,P57-P55)</x:f>
        <x:v>152.99227276525517</x:v>
      </x:c>
      <x:c r="Q58" s="2" t="n">
        <x:f>0</x:f>
        <x:v>0</x:v>
      </x:c>
      <x:c r="R58" s="2" t="n">
        <x:f>0</x:f>
        <x:v>0</x:v>
      </x:c>
      <x:c r="S58" s="2" t="n">
        <x:f>0</x:f>
        <x:v>0</x:v>
      </x:c>
      <x:c r="T58" s="2" t="n">
        <x:f>MAX(0,T57-T55)</x:f>
        <x:v>31290.624672709164</x:v>
      </x:c>
      <x:c r="U58" s="2" t="n">
        <x:f>0</x:f>
        <x:v>0</x:v>
      </x:c>
      <x:c r="V58" s="2" t="n">
        <x:f>0</x:f>
        <x:v>0</x:v>
      </x:c>
      <x:c r="W58" s="2" t="n">
        <x:f>0</x:f>
        <x:v>0</x:v>
      </x:c>
      <x:c r="X58" s="2" t="n">
        <x:f>MAX(0,X57-X55)</x:f>
        <x:v>96906.63838279674</x:v>
      </x:c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</x:row>
    <x:row r="61" ht="21" customHeight="1">
      <x:c r="A61" s="1"/>
      <x:c r="B61" s="1"/>
      <x:c r="C61" s="15" t="str">
        <x:v>Annual assumptions</x:v>
      </x:c>
      <x:c r="D61" s="28" t="n">
        <x:v>2026</x:v>
      </x:c>
      <x:c r="E61" s="28" t="n">
        <x:v>2027</x:v>
      </x:c>
      <x:c r="F61" s="28" t="n">
        <x:v>2028</x:v>
      </x:c>
      <x:c r="G61" s="28" t="n">
        <x:v>2029</x:v>
      </x:c>
      <x:c r="H61" s="28" t="n">
        <x:v>2030</x:v>
      </x:c>
      <x:c r="I61" s="28" t="n">
        <x:v>2031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</x:row>
    <x:row r="63" ht="21" customHeight="1">
      <x:c r="A63" s="1"/>
      <x:c r="B63" s="1"/>
      <x:c r="C63" s="1" t="str">
        <x:v>Receivable days</x:v>
      </x:c>
      <x:c r="D63" s="17" t="n">
        <x:v>0</x:v>
      </x:c>
      <x:c r="E63" s="17" t="n">
        <x:v>30</x:v>
      </x:c>
      <x:c r="F63" s="17" t="n">
        <x:v>45</x:v>
      </x:c>
      <x:c r="G63" s="17" t="n">
        <x:v>65</x:v>
      </x:c>
      <x:c r="H63" s="17" t="n">
        <x:v>75</x:v>
      </x:c>
      <x:c r="I63" s="17" t="n">
        <x:v>75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</x:row>
    <x:row r="64" ht="21" customHeight="1">
      <x:c r="A64" s="1"/>
      <x:c r="B64" s="1"/>
      <x:c r="C64" s="1" t="str">
        <x:v>Inventory days</x:v>
      </x:c>
      <x:c r="D64" s="17" t="n">
        <x:v>0</x:v>
      </x:c>
      <x:c r="E64" s="17" t="n">
        <x:v>15</x:v>
      </x:c>
      <x:c r="F64" s="17" t="n">
        <x:v>30</x:v>
      </x:c>
      <x:c r="G64" s="17" t="n">
        <x:v>38</x:v>
      </x:c>
      <x:c r="H64" s="17" t="n">
        <x:v>55</x:v>
      </x:c>
      <x:c r="I64" s="17" t="n">
        <x:v>55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</x:row>
    <x:row r="65" ht="21" customHeight="1">
      <x:c r="A65" s="1"/>
      <x:c r="B65" s="1"/>
      <x:c r="C65" s="1" t="str">
        <x:v>Supplier payment days</x:v>
      </x:c>
      <x:c r="D65" s="17" t="n">
        <x:v>45</x:v>
      </x:c>
      <x:c r="E65" s="17" t="n">
        <x:v>45</x:v>
      </x:c>
      <x:c r="F65" s="17" t="n">
        <x:v>45</x:v>
      </x:c>
      <x:c r="G65" s="17" t="n">
        <x:v>45</x:v>
      </x:c>
      <x:c r="H65" s="17" t="n">
        <x:v>45</x:v>
      </x:c>
      <x:c r="I65" s="17" t="n">
        <x:v>45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</x:row>
    <x:row r="66" ht="21" customHeight="1">
      <x:c r="A66" s="1"/>
      <x:c r="B66" s="1"/>
      <x:c r="C66" s="1" t="str">
        <x:v>Combined cash tax rate assumption</x:v>
      </x:c>
      <x:c r="D66" s="23" t="n">
        <x:v>0.2984</x:v>
      </x:c>
      <x:c r="E66" s="23" t="n">
        <x:v>0.2984</x:v>
      </x:c>
      <x:c r="F66" s="23" t="n">
        <x:v>0.2984</x:v>
      </x:c>
      <x:c r="G66" s="23" t="n">
        <x:v>0.2984</x:v>
      </x:c>
      <x:c r="H66" s="23" t="n">
        <x:v>0.2984</x:v>
      </x:c>
      <x:c r="I66" s="23" t="n">
        <x:v>0.2984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</x:row>
    <x:row r="67" ht="21" customHeight="1">
      <x:c r="A67" s="1"/>
      <x:c r="B67" s="1"/>
      <x:c r="C67" s="1" t="str">
        <x:v>Tax-loss utilization limit</x:v>
      </x:c>
      <x:c r="D67" s="23" t="n">
        <x:v>0.8</x:v>
      </x:c>
      <x:c r="E67" s="23" t="n">
        <x:v>0.8</x:v>
      </x:c>
      <x:c r="F67" s="23" t="n">
        <x:v>0.8</x:v>
      </x:c>
      <x:c r="G67" s="23" t="n">
        <x:v>0.8</x:v>
      </x:c>
      <x:c r="H67" s="23" t="n">
        <x:v>0.8</x:v>
      </x:c>
      <x:c r="I67" s="23" t="n">
        <x:v>0.8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</x:row>
    <x:row r="68" ht="21" customHeight="1">
      <x:c r="A68" s="1"/>
      <x:c r="B68" s="1"/>
      <x:c r="C68" s="1" t="str">
        <x:v>Depreciation life (years)</x:v>
      </x:c>
      <x:c r="D68" s="17" t="n">
        <x:v>5</x:v>
      </x:c>
      <x:c r="E68" s="17" t="n">
        <x:v>5</x:v>
      </x:c>
      <x:c r="F68" s="17" t="n">
        <x:v>5</x:v>
      </x:c>
      <x:c r="G68" s="17" t="n">
        <x:v>5</x:v>
      </x:c>
      <x:c r="H68" s="17" t="n">
        <x:v>5</x:v>
      </x:c>
      <x:c r="I68" s="17" t="n">
        <x:v>5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</x:row>
    <x:row r="69" ht="21" customHeight="1">
      <x:c r="A69" s="1"/>
      <x:c r="B69" s="1"/>
      <x:c r="C69" s="1" t="str">
        <x:v>Post-launch cash floor ($000)</x:v>
      </x:c>
      <x:c r="D69" s="17" t="n">
        <x:v>100</x:v>
      </x:c>
      <x:c r="E69" s="17" t="n">
        <x:v>100</x:v>
      </x:c>
      <x:c r="F69" s="17" t="n">
        <x:v>100</x:v>
      </x:c>
      <x:c r="G69" s="17" t="n">
        <x:v>100</x:v>
      </x:c>
      <x:c r="H69" s="17" t="n">
        <x:v>100</x:v>
      </x:c>
      <x:c r="I69" s="17" t="n">
        <x:v>100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</x:row>
    <x:row r="70" ht="21" customHeight="1">
      <x:c r="A70" s="1"/>
      <x:c r="B70" s="1"/>
      <x:c r="C70" s="1" t="str">
        <x:v>Post-launch cash buffer (weeks)</x:v>
      </x:c>
      <x:c r="D70" s="17" t="n">
        <x:v>6</x:v>
      </x:c>
      <x:c r="E70" s="17" t="n">
        <x:v>6</x:v>
      </x:c>
      <x:c r="F70" s="17" t="n">
        <x:v>6</x:v>
      </x:c>
      <x:c r="G70" s="17" t="n">
        <x:v>6</x:v>
      </x:c>
      <x:c r="H70" s="17" t="n">
        <x:v>6</x:v>
      </x:c>
      <x:c r="I70" s="17" t="n">
        <x:v>6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</x:row>
    <x:row r="73" ht="21" customHeight="1">
      <x:c r="A73" s="1"/>
      <x:c r="B73" s="1"/>
      <x:c r="C73" s="15" t="str">
        <x:v>Operating assumptions</x:v>
      </x:c>
      <x:c r="D73" s="16" t="str">
        <x:v>Q4:26</x:v>
      </x:c>
      <x:c r="E73" s="16" t="str">
        <x:v>Q1:27</x:v>
      </x:c>
      <x:c r="F73" s="16" t="str">
        <x:v>Q2:27</x:v>
      </x:c>
      <x:c r="G73" s="16" t="str">
        <x:v>Q3:27</x:v>
      </x:c>
      <x:c r="H73" s="16" t="str">
        <x:v>Q4:27</x:v>
      </x:c>
      <x:c r="I73" s="16" t="str">
        <x:v>Q1:28</x:v>
      </x:c>
      <x:c r="J73" s="16" t="str">
        <x:v>Q2:28</x:v>
      </x:c>
      <x:c r="K73" s="16" t="str">
        <x:v>Q3:28</x:v>
      </x:c>
      <x:c r="L73" s="16" t="str">
        <x:v>Q4:28</x:v>
      </x:c>
      <x:c r="M73" s="16" t="str">
        <x:v>Q1:29</x:v>
      </x:c>
      <x:c r="N73" s="16" t="str">
        <x:v>Q2:29</x:v>
      </x:c>
      <x:c r="O73" s="16" t="str">
        <x:v>Q3:29</x:v>
      </x:c>
      <x:c r="P73" s="16" t="str">
        <x:v>Q4:29</x:v>
      </x:c>
      <x:c r="Q73" s="16" t="str">
        <x:v>Q1:30</x:v>
      </x:c>
      <x:c r="R73" s="16" t="str">
        <x:v>Q2:30</x:v>
      </x:c>
      <x:c r="S73" s="16" t="str">
        <x:v>Q3:30</x:v>
      </x:c>
      <x:c r="T73" s="16" t="str">
        <x:v>Q4:30</x:v>
      </x:c>
      <x:c r="U73" s="16" t="str">
        <x:v>Q1:31</x:v>
      </x:c>
      <x:c r="V73" s="16" t="str">
        <x:v>Q2:31</x:v>
      </x:c>
      <x:c r="W73" s="16" t="str">
        <x:v>Q3:31</x:v>
      </x:c>
      <x:c r="X73" s="16" t="str">
        <x:v>Q4:31</x:v>
      </x:c>
    </x:row>
    <x:row r="74" ht="21" customHeight="1">
      <x:c r="A74" s="1"/>
      <x:c r="B74" s="1"/>
      <x:c r="C74" s="1" t="str">
        <x:v>R&amp;D, clinical and regulatory programs</x:v>
      </x:c>
      <x:c r="D74" s="17" t="n">
        <x:v>0</x:v>
      </x:c>
      <x:c r="E74" s="17" t="n">
        <x:v>0</x:v>
      </x:c>
      <x:c r="F74" s="17" t="n">
        <x:v>0</x:v>
      </x:c>
      <x:c r="G74" s="17" t="n">
        <x:v>0</x:v>
      </x:c>
      <x:c r="H74" s="17" t="n">
        <x:v>0</x:v>
      </x:c>
      <x:c r="I74" s="17" t="n">
        <x:v>0</x:v>
      </x:c>
      <x:c r="J74" s="17" t="n">
        <x:v>0</x:v>
      </x:c>
      <x:c r="K74" s="17" t="n">
        <x:v>215</x:v>
      </x:c>
      <x:c r="L74" s="17" t="n">
        <x:v>320</x:v>
      </x:c>
      <x:c r="M74" s="17" t="n">
        <x:v>380</x:v>
      </x:c>
      <x:c r="N74" s="17" t="n">
        <x:v>445</x:v>
      </x:c>
      <x:c r="O74" s="17" t="n">
        <x:v>475</x:v>
      </x:c>
      <x:c r="P74" s="17" t="n">
        <x:v>500</x:v>
      </x:c>
      <x:c r="Q74" s="17" t="n">
        <x:v>520</x:v>
      </x:c>
      <x:c r="R74" s="17" t="n">
        <x:v>570</x:v>
      </x:c>
      <x:c r="S74" s="17" t="n">
        <x:v>600</x:v>
      </x:c>
      <x:c r="T74" s="17" t="n">
        <x:v>620</x:v>
      </x:c>
      <x:c r="U74" s="17" t="n">
        <x:v>610</x:v>
      </x:c>
      <x:c r="V74" s="17" t="n">
        <x:v>640</x:v>
      </x:c>
      <x:c r="W74" s="17" t="n">
        <x:v>665</x:v>
      </x:c>
      <x:c r="X74" s="17" t="n">
        <x:v>685</x:v>
      </x:c>
    </x:row>
    <x:row r="75" ht="21" customHeight="1">
      <x:c r="A75" s="1"/>
      <x:c r="B75" s="1"/>
      <x:c r="C75" s="1" t="str">
        <x:v>Outsourced operations, G&amp;A and IP</x:v>
      </x:c>
      <x:c r="D75" s="17" t="n">
        <x:v>0</x:v>
      </x:c>
      <x:c r="E75" s="17" t="n">
        <x:v>0</x:v>
      </x:c>
      <x:c r="F75" s="17" t="n">
        <x:v>0</x:v>
      </x:c>
      <x:c r="G75" s="17" t="n">
        <x:v>0</x:v>
      </x:c>
      <x:c r="H75" s="17" t="n">
        <x:v>0</x:v>
      </x:c>
      <x:c r="I75" s="17" t="n">
        <x:v>43</x:v>
      </x:c>
      <x:c r="J75" s="17" t="n">
        <x:v>49</x:v>
      </x:c>
      <x:c r="K75" s="17" t="n">
        <x:v>191</x:v>
      </x:c>
      <x:c r="L75" s="17" t="n">
        <x:v>230</x:v>
      </x:c>
      <x:c r="M75" s="17" t="n">
        <x:v>299</x:v>
      </x:c>
      <x:c r="N75" s="17" t="n">
        <x:v>314</x:v>
      </x:c>
      <x:c r="O75" s="17" t="n">
        <x:v>337</x:v>
      </x:c>
      <x:c r="P75" s="17" t="n">
        <x:v>352</x:v>
      </x:c>
      <x:c r="Q75" s="17" t="n">
        <x:v>546</x:v>
      </x:c>
      <x:c r="R75" s="17" t="n">
        <x:v>566</x:v>
      </x:c>
      <x:c r="S75" s="17" t="n">
        <x:v>595</x:v>
      </x:c>
      <x:c r="T75" s="17" t="n">
        <x:v>615</x:v>
      </x:c>
      <x:c r="U75" s="17" t="n">
        <x:v>705</x:v>
      </x:c>
      <x:c r="V75" s="17" t="n">
        <x:v>725</x:v>
      </x:c>
      <x:c r="W75" s="17" t="n">
        <x:v>755</x:v>
      </x:c>
      <x:c r="X75" s="17" t="n">
        <x:v>775</x:v>
      </x:c>
    </x:row>
    <x:row r="76" ht="21" customHeight="1">
      <x:c r="A76" s="1"/>
      <x:c r="B76" s="1"/>
      <x:c r="C76" s="1" t="str">
        <x:v>Sales and marketing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7" t="n">
        <x:v>0</x:v>
      </x:c>
      <x:c r="I76" s="17" t="n">
        <x:v>9</x:v>
      </x:c>
      <x:c r="J76" s="17" t="n">
        <x:v>11</x:v>
      </x:c>
      <x:c r="K76" s="17" t="n">
        <x:v>110</x:v>
      </x:c>
      <x:c r="L76" s="17" t="n">
        <x:v>170</x:v>
      </x:c>
      <x:c r="M76" s="17" t="n">
        <x:v>240</x:v>
      </x:c>
      <x:c r="N76" s="17" t="n">
        <x:v>280</x:v>
      </x:c>
      <x:c r="O76" s="17" t="n">
        <x:v>315</x:v>
      </x:c>
      <x:c r="P76" s="17" t="n">
        <x:v>350</x:v>
      </x:c>
      <x:c r="Q76" s="17" t="n">
        <x:v>1250</x:v>
      </x:c>
      <x:c r="R76" s="17" t="n">
        <x:v>1400</x:v>
      </x:c>
      <x:c r="S76" s="17" t="n">
        <x:v>1550</x:v>
      </x:c>
      <x:c r="T76" s="17" t="n">
        <x:v>1700</x:v>
      </x:c>
      <x:c r="U76" s="17" t="n">
        <x:v>2150</x:v>
      </x:c>
      <x:c r="V76" s="17" t="n">
        <x:v>2300</x:v>
      </x:c>
      <x:c r="W76" s="17" t="n">
        <x:v>2450</x:v>
      </x:c>
      <x:c r="X76" s="17" t="n">
        <x:v>2600</x:v>
      </x:c>
    </x:row>
    <x:row r="77" ht="21" customHeight="1">
      <x:c r="A77" s="1"/>
      <x:c r="B77" s="1"/>
      <x:c r="C77" s="1" t="str">
        <x:v>General capital expenditure</x:v>
      </x:c>
      <x:c r="D77" s="17" t="n">
        <x:v>0</x:v>
      </x:c>
      <x:c r="E77" s="17" t="n">
        <x:v>0</x:v>
      </x:c>
      <x:c r="F77" s="17" t="n">
        <x:v>0</x:v>
      </x:c>
      <x:c r="G77" s="17" t="n">
        <x:v>0</x:v>
      </x:c>
      <x:c r="H77" s="17" t="n">
        <x:v>0</x:v>
      </x:c>
      <x:c r="I77" s="17" t="n">
        <x:v>5</x:v>
      </x:c>
      <x:c r="J77" s="17" t="n">
        <x:v>7</x:v>
      </x:c>
      <x:c r="K77" s="17" t="n">
        <x:v>38</x:v>
      </x:c>
      <x:c r="L77" s="17" t="n">
        <x:v>48</x:v>
      </x:c>
      <x:c r="M77" s="17" t="n">
        <x:v>50</x:v>
      </x:c>
      <x:c r="N77" s="17" t="n">
        <x:v>55</x:v>
      </x:c>
      <x:c r="O77" s="17" t="n">
        <x:v>60</x:v>
      </x:c>
      <x:c r="P77" s="17" t="n">
        <x:v>65</x:v>
      </x:c>
      <x:c r="Q77" s="17" t="n">
        <x:v>105</x:v>
      </x:c>
      <x:c r="R77" s="17" t="n">
        <x:v>110</x:v>
      </x:c>
      <x:c r="S77" s="17" t="n">
        <x:v>115</x:v>
      </x:c>
      <x:c r="T77" s="17" t="n">
        <x:v>120</x:v>
      </x:c>
      <x:c r="U77" s="17" t="n">
        <x:v>135</x:v>
      </x:c>
      <x:c r="V77" s="17" t="n">
        <x:v>140</x:v>
      </x:c>
      <x:c r="W77" s="17" t="n">
        <x:v>145</x:v>
      </x:c>
      <x:c r="X77" s="17" t="n">
        <x:v>150</x:v>
      </x:c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</x:row>
    <x:row r="79" ht="23" customHeight="1">
      <x:c r="A79" s="1"/>
      <x:c r="B79" s="1"/>
      <x:c r="C79" s="13" t="str">
        <x:v>Average paid headcount</x:v>
      </x:c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</x:row>
    <x:row r="80" ht="21" customHeight="1">
      <x:c r="A80" s="1"/>
      <x:c r="B80" s="1"/>
      <x:c r="C80" s="1" t="str">
        <x:v>Founder and executive</x:v>
      </x:c>
      <x:c r="D80" s="17" t="n">
        <x:v>0</x:v>
      </x:c>
      <x:c r="E80" s="17" t="n">
        <x:v>0</x:v>
      </x:c>
      <x:c r="F80" s="17" t="n">
        <x:v>0</x:v>
      </x:c>
      <x:c r="G80" s="17" t="n">
        <x:v>0</x:v>
      </x:c>
      <x:c r="H80" s="17" t="n">
        <x:v>0</x:v>
      </x:c>
      <x:c r="I80" s="17" t="n">
        <x:v>0</x:v>
      </x:c>
      <x:c r="J80" s="17" t="n">
        <x:v>0</x:v>
      </x:c>
      <x:c r="K80" s="17" t="n">
        <x:v>1</x:v>
      </x:c>
      <x:c r="L80" s="17" t="n">
        <x:v>2</x:v>
      </x:c>
      <x:c r="M80" s="17" t="n">
        <x:v>2</x:v>
      </x:c>
      <x:c r="N80" s="17" t="n">
        <x:v>3</x:v>
      </x:c>
      <x:c r="O80" s="17" t="n">
        <x:v>3</x:v>
      </x:c>
      <x:c r="P80" s="17" t="n">
        <x:v>3</x:v>
      </x:c>
      <x:c r="Q80" s="17" t="n">
        <x:v>4</x:v>
      </x:c>
      <x:c r="R80" s="17" t="n">
        <x:v>4</x:v>
      </x:c>
      <x:c r="S80" s="17" t="n">
        <x:v>5</x:v>
      </x:c>
      <x:c r="T80" s="17" t="n">
        <x:v>5</x:v>
      </x:c>
      <x:c r="U80" s="17" t="n">
        <x:v>5</x:v>
      </x:c>
      <x:c r="V80" s="17" t="n">
        <x:v>6</x:v>
      </x:c>
      <x:c r="W80" s="17" t="n">
        <x:v>6</x:v>
      </x:c>
      <x:c r="X80" s="17" t="n">
        <x:v>6</x:v>
      </x:c>
    </x:row>
    <x:row r="81" ht="21" customHeight="1">
      <x:c r="A81" s="1"/>
      <x:c r="B81" s="1"/>
      <x:c r="C81" s="1" t="str">
        <x:v>Product and engineering</x:v>
      </x:c>
      <x:c r="D81" s="17" t="n">
        <x:v>0</x:v>
      </x:c>
      <x:c r="E81" s="17" t="n">
        <x:v>0</x:v>
      </x:c>
      <x:c r="F81" s="17" t="n">
        <x:v>0</x:v>
      </x:c>
      <x:c r="G81" s="17" t="n">
        <x:v>0</x:v>
      </x:c>
      <x:c r="H81" s="17" t="n">
        <x:v>0</x:v>
      </x:c>
      <x:c r="I81" s="17" t="n">
        <x:v>0</x:v>
      </x:c>
      <x:c r="J81" s="17" t="n">
        <x:v>0</x:v>
      </x:c>
      <x:c r="K81" s="17" t="n">
        <x:v>1</x:v>
      </x:c>
      <x:c r="L81" s="17" t="n">
        <x:v>2</x:v>
      </x:c>
      <x:c r="M81" s="17" t="n">
        <x:v>3</x:v>
      </x:c>
      <x:c r="N81" s="17" t="n">
        <x:v>4</x:v>
      </x:c>
      <x:c r="O81" s="17" t="n">
        <x:v>5</x:v>
      </x:c>
      <x:c r="P81" s="17" t="n">
        <x:v>5</x:v>
      </x:c>
      <x:c r="Q81" s="17" t="n">
        <x:v>6</x:v>
      </x:c>
      <x:c r="R81" s="17" t="n">
        <x:v>7</x:v>
      </x:c>
      <x:c r="S81" s="17" t="n">
        <x:v>8</x:v>
      </x:c>
      <x:c r="T81" s="17" t="n">
        <x:v>8</x:v>
      </x:c>
      <x:c r="U81" s="17" t="n">
        <x:v>9</x:v>
      </x:c>
      <x:c r="V81" s="17" t="n">
        <x:v>10</x:v>
      </x:c>
      <x:c r="W81" s="17" t="n">
        <x:v>10</x:v>
      </x:c>
      <x:c r="X81" s="17" t="n">
        <x:v>11</x:v>
      </x:c>
    </x:row>
    <x:row r="82" ht="21" customHeight="1">
      <x:c r="A82" s="1"/>
      <x:c r="B82" s="1"/>
      <x:c r="C82" s="1" t="str">
        <x:v>Clinical and regulatory</x:v>
      </x:c>
      <x:c r="D82" s="17" t="n">
        <x:v>0</x:v>
      </x:c>
      <x:c r="E82" s="17" t="n">
        <x:v>0</x:v>
      </x:c>
      <x:c r="F82" s="17" t="n">
        <x:v>0</x:v>
      </x:c>
      <x:c r="G82" s="17" t="n">
        <x:v>0</x:v>
      </x:c>
      <x:c r="H82" s="17" t="n">
        <x:v>0</x:v>
      </x:c>
      <x:c r="I82" s="17" t="n">
        <x:v>0</x:v>
      </x:c>
      <x:c r="J82" s="17" t="n">
        <x:v>0</x:v>
      </x:c>
      <x:c r="K82" s="17" t="n">
        <x:v>0</x:v>
      </x:c>
      <x:c r="L82" s="17" t="n">
        <x:v>1</x:v>
      </x:c>
      <x:c r="M82" s="17" t="n">
        <x:v>1</x:v>
      </x:c>
      <x:c r="N82" s="17" t="n">
        <x:v>2</x:v>
      </x:c>
      <x:c r="O82" s="17" t="n">
        <x:v>2</x:v>
      </x:c>
      <x:c r="P82" s="17" t="n">
        <x:v>3</x:v>
      </x:c>
      <x:c r="Q82" s="17" t="n">
        <x:v>3</x:v>
      </x:c>
      <x:c r="R82" s="17" t="n">
        <x:v>4</x:v>
      </x:c>
      <x:c r="S82" s="17" t="n">
        <x:v>4</x:v>
      </x:c>
      <x:c r="T82" s="17" t="n">
        <x:v>4</x:v>
      </x:c>
      <x:c r="U82" s="17" t="n">
        <x:v>5</x:v>
      </x:c>
      <x:c r="V82" s="17" t="n">
        <x:v>5</x:v>
      </x:c>
      <x:c r="W82" s="17" t="n">
        <x:v>5</x:v>
      </x:c>
      <x:c r="X82" s="17" t="n">
        <x:v>5</x:v>
      </x:c>
    </x:row>
    <x:row r="83" ht="21" customHeight="1">
      <x:c r="A83" s="1"/>
      <x:c r="B83" s="1"/>
      <x:c r="C83" s="1" t="str">
        <x:v>Quality</x:v>
      </x:c>
      <x:c r="D83" s="17" t="n">
        <x:v>0</x:v>
      </x:c>
      <x:c r="E83" s="17" t="n">
        <x:v>0</x:v>
      </x:c>
      <x:c r="F83" s="17" t="n">
        <x:v>0</x:v>
      </x:c>
      <x:c r="G83" s="17" t="n">
        <x:v>0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v>1</x:v>
      </x:c>
      <x:c r="M83" s="17" t="n">
        <x:v>1</x:v>
      </x:c>
      <x:c r="N83" s="17" t="n">
        <x:v>2</x:v>
      </x:c>
      <x:c r="O83" s="17" t="n">
        <x:v>2</x:v>
      </x:c>
      <x:c r="P83" s="17" t="n">
        <x:v>2</x:v>
      </x:c>
      <x:c r="Q83" s="17" t="n">
        <x:v>3</x:v>
      </x:c>
      <x:c r="R83" s="17" t="n">
        <x:v>3</x:v>
      </x:c>
      <x:c r="S83" s="17" t="n">
        <x:v>4</x:v>
      </x:c>
      <x:c r="T83" s="17" t="n">
        <x:v>4</x:v>
      </x:c>
      <x:c r="U83" s="17" t="n">
        <x:v>4</x:v>
      </x:c>
      <x:c r="V83" s="17" t="n">
        <x:v>5</x:v>
      </x:c>
      <x:c r="W83" s="17" t="n">
        <x:v>5</x:v>
      </x:c>
      <x:c r="X83" s="17" t="n">
        <x:v>5</x:v>
      </x:c>
    </x:row>
    <x:row r="84" ht="21" customHeight="1">
      <x:c r="A84" s="1"/>
      <x:c r="B84" s="1"/>
      <x:c r="C84" s="1" t="str">
        <x:v>Supply chain oversight</x:v>
      </x:c>
      <x:c r="D84" s="17" t="n">
        <x:v>0</x:v>
      </x:c>
      <x:c r="E84" s="17" t="n">
        <x:v>0</x:v>
      </x:c>
      <x:c r="F84" s="17" t="n">
        <x:v>0</x:v>
      </x:c>
      <x:c r="G84" s="17" t="n">
        <x:v>0</x:v>
      </x:c>
      <x:c r="H84" s="17" t="n">
        <x:v>0</x:v>
      </x:c>
      <x:c r="I84" s="17" t="n">
        <x:v>0</x:v>
      </x:c>
      <x:c r="J84" s="17" t="n">
        <x:v>0</x:v>
      </x:c>
      <x:c r="K84" s="17" t="n">
        <x:v>1</x:v>
      </x:c>
      <x:c r="L84" s="17" t="n">
        <x:v>1</x:v>
      </x:c>
      <x:c r="M84" s="17" t="n">
        <x:v>2</x:v>
      </x:c>
      <x:c r="N84" s="17" t="n">
        <x:v>3</x:v>
      </x:c>
      <x:c r="O84" s="17" t="n">
        <x:v>3</x:v>
      </x:c>
      <x:c r="P84" s="17" t="n">
        <x:v>4</x:v>
      </x:c>
      <x:c r="Q84" s="17" t="n">
        <x:v>5</x:v>
      </x:c>
      <x:c r="R84" s="17" t="n">
        <x:v>6</x:v>
      </x:c>
      <x:c r="S84" s="17" t="n">
        <x:v>6</x:v>
      </x:c>
      <x:c r="T84" s="17" t="n">
        <x:v>7</x:v>
      </x:c>
      <x:c r="U84" s="17" t="n">
        <x:v>8</x:v>
      </x:c>
      <x:c r="V84" s="17" t="n">
        <x:v>8</x:v>
      </x:c>
      <x:c r="W84" s="17" t="n">
        <x:v>9</x:v>
      </x:c>
      <x:c r="X84" s="17" t="n">
        <x:v>9</x:v>
      </x:c>
    </x:row>
    <x:row r="85" ht="21" customHeight="1">
      <x:c r="A85" s="1"/>
      <x:c r="B85" s="1"/>
      <x:c r="C85" s="1" t="str">
        <x:v>Sales and business development</x:v>
      </x:c>
      <x:c r="D85" s="17" t="n">
        <x:v>0</x:v>
      </x:c>
      <x:c r="E85" s="17" t="n">
        <x:v>0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n">
        <x:v>3</x:v>
      </x:c>
      <x:c r="K85" s="17" t="n">
        <x:v>6</x:v>
      </x:c>
      <x:c r="L85" s="17" t="n">
        <x:v>9</x:v>
      </x:c>
      <x:c r="M85" s="17" t="n">
        <x:v>13</x:v>
      </x:c>
      <x:c r="N85" s="17" t="n">
        <x:v>17</x:v>
      </x:c>
      <x:c r="O85" s="17" t="n">
        <x:v>21</x:v>
      </x:c>
      <x:c r="P85" s="17" t="n">
        <x:v>25</x:v>
      </x:c>
      <x:c r="Q85" s="17" t="n">
        <x:v>29</x:v>
      </x:c>
      <x:c r="R85" s="17" t="n">
        <x:v>33</x:v>
      </x:c>
      <x:c r="S85" s="17" t="n">
        <x:v>37</x:v>
      </x:c>
      <x:c r="T85" s="17" t="n">
        <x:v>41</x:v>
      </x:c>
      <x:c r="U85" s="17" t="n">
        <x:v>45</x:v>
      </x:c>
      <x:c r="V85" s="17" t="n">
        <x:v>49</x:v>
      </x:c>
      <x:c r="W85" s="17" t="n">
        <x:v>53</x:v>
      </x:c>
      <x:c r="X85" s="17" t="n">
        <x:v>57</x:v>
      </x:c>
    </x:row>
    <x:row r="86" ht="21" customHeight="1">
      <x:c r="A86" s="1"/>
      <x:c r="B86" s="1"/>
      <x:c r="C86" s="1" t="str">
        <x:v>Customer success</x:v>
      </x:c>
      <x:c r="D86" s="17" t="n">
        <x:v>0</x:v>
      </x:c>
      <x:c r="E86" s="17" t="n">
        <x:v>0</x:v>
      </x:c>
      <x:c r="F86" s="17" t="n">
        <x:v>0</x:v>
      </x:c>
      <x:c r="G86" s="17" t="n">
        <x:v>0</x:v>
      </x:c>
      <x:c r="H86" s="17" t="n">
        <x:v>0</x:v>
      </x:c>
      <x:c r="I86" s="17" t="n">
        <x:v>0</x:v>
      </x:c>
      <x:c r="J86" s="17" t="n">
        <x:v>0</x:v>
      </x:c>
      <x:c r="K86" s="17" t="n">
        <x:v>1</x:v>
      </x:c>
      <x:c r="L86" s="17" t="n">
        <x:v>2</x:v>
      </x:c>
      <x:c r="M86" s="17" t="n">
        <x:v>3</x:v>
      </x:c>
      <x:c r="N86" s="17" t="n">
        <x:v>4</x:v>
      </x:c>
      <x:c r="O86" s="17" t="n">
        <x:v>5</x:v>
      </x:c>
      <x:c r="P86" s="17" t="n">
        <x:v>6</x:v>
      </x:c>
      <x:c r="Q86" s="17" t="n">
        <x:v>8</x:v>
      </x:c>
      <x:c r="R86" s="17" t="n">
        <x:v>10</x:v>
      </x:c>
      <x:c r="S86" s="17" t="n">
        <x:v>12</x:v>
      </x:c>
      <x:c r="T86" s="17" t="n">
        <x:v>14</x:v>
      </x:c>
      <x:c r="U86" s="17" t="n">
        <x:v>16</x:v>
      </x:c>
      <x:c r="V86" s="17" t="n">
        <x:v>18</x:v>
      </x:c>
      <x:c r="W86" s="17" t="n">
        <x:v>20</x:v>
      </x:c>
      <x:c r="X86" s="17" t="n">
        <x:v>22</x:v>
      </x:c>
    </x:row>
    <x:row r="87" ht="21" customHeight="1">
      <x:c r="A87" s="1"/>
      <x:c r="B87" s="1"/>
      <x:c r="C87" s="1" t="str">
        <x:v>Finance and administration</x:v>
      </x:c>
      <x:c r="D87" s="17" t="n">
        <x:v>0</x:v>
      </x:c>
      <x:c r="E87" s="17" t="n">
        <x:v>0</x:v>
      </x:c>
      <x:c r="F87" s="17" t="n">
        <x:v>0</x:v>
      </x:c>
      <x:c r="G87" s="17" t="n">
        <x:v>0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1</x:v>
      </x:c>
      <x:c r="M87" s="17" t="n">
        <x:v>1</x:v>
      </x:c>
      <x:c r="N87" s="17" t="n">
        <x:v>2</x:v>
      </x:c>
      <x:c r="O87" s="17" t="n">
        <x:v>2</x:v>
      </x:c>
      <x:c r="P87" s="17" t="n">
        <x:v>2</x:v>
      </x:c>
      <x:c r="Q87" s="17" t="n">
        <x:v>3</x:v>
      </x:c>
      <x:c r="R87" s="17" t="n">
        <x:v>3</x:v>
      </x:c>
      <x:c r="S87" s="17" t="n">
        <x:v>4</x:v>
      </x:c>
      <x:c r="T87" s="17" t="n">
        <x:v>4</x:v>
      </x:c>
      <x:c r="U87" s="17" t="n">
        <x:v>4</x:v>
      </x:c>
      <x:c r="V87" s="17" t="n">
        <x:v>5</x:v>
      </x:c>
      <x:c r="W87" s="17" t="n">
        <x:v>5</x:v>
      </x:c>
      <x:c r="X87" s="17" t="n">
        <x:v>6</x:v>
      </x:c>
    </x:row>
    <x:row r="88" ht="21" customHeight="1">
      <x:c r="A88" s="1"/>
      <x:c r="B88" s="1"/>
      <x:c r="C88" s="1" t="str">
        <x:v>Total average FTE</x:v>
      </x:c>
      <x:c r="D88" s="2" t="n">
        <x:f>SUM(D80:D87)</x:f>
        <x:v>0</x:v>
      </x:c>
      <x:c r="E88" s="2" t="n">
        <x:f>SUM(E80:E87)</x:f>
        <x:v>0</x:v>
      </x:c>
      <x:c r="F88" s="2" t="n">
        <x:f>SUM(F80:F87)</x:f>
        <x:v>0</x:v>
      </x:c>
      <x:c r="G88" s="2" t="n">
        <x:f>SUM(G80:G87)</x:f>
        <x:v>0</x:v>
      </x:c>
      <x:c r="H88" s="2" t="n">
        <x:f>SUM(H80:H87)</x:f>
        <x:v>0</x:v>
      </x:c>
      <x:c r="I88" s="2" t="n">
        <x:f>SUM(I80:I87)</x:f>
        <x:v>0</x:v>
      </x:c>
      <x:c r="J88" s="2" t="n">
        <x:f>SUM(J80:J87)</x:f>
        <x:v>3</x:v>
      </x:c>
      <x:c r="K88" s="2" t="n">
        <x:f>SUM(K80:K87)</x:f>
        <x:v>10</x:v>
      </x:c>
      <x:c r="L88" s="2" t="n">
        <x:f>SUM(L80:L87)</x:f>
        <x:v>19</x:v>
      </x:c>
      <x:c r="M88" s="2" t="n">
        <x:f>SUM(M80:M87)</x:f>
        <x:v>26</x:v>
      </x:c>
      <x:c r="N88" s="2" t="n">
        <x:f>SUM(N80:N87)</x:f>
        <x:v>37</x:v>
      </x:c>
      <x:c r="O88" s="2" t="n">
        <x:f>SUM(O80:O87)</x:f>
        <x:v>43</x:v>
      </x:c>
      <x:c r="P88" s="2" t="n">
        <x:f>SUM(P80:P87)</x:f>
        <x:v>50</x:v>
      </x:c>
      <x:c r="Q88" s="2" t="n">
        <x:f>SUM(Q80:Q87)</x:f>
        <x:v>61</x:v>
      </x:c>
      <x:c r="R88" s="2" t="n">
        <x:f>SUM(R80:R87)</x:f>
        <x:v>70</x:v>
      </x:c>
      <x:c r="S88" s="2" t="n">
        <x:f>SUM(S80:S87)</x:f>
        <x:v>80</x:v>
      </x:c>
      <x:c r="T88" s="2" t="n">
        <x:f>SUM(T80:T87)</x:f>
        <x:v>87</x:v>
      </x:c>
      <x:c r="U88" s="2" t="n">
        <x:f>SUM(U80:U87)</x:f>
        <x:v>96</x:v>
      </x:c>
      <x:c r="V88" s="2" t="n">
        <x:f>SUM(V80:V87)</x:f>
        <x:v>106</x:v>
      </x:c>
      <x:c r="W88" s="2" t="n">
        <x:f>SUM(W80:W87)</x:f>
        <x:v>113</x:v>
      </x:c>
      <x:c r="X88" s="2" t="n">
        <x:f>SUM(X80:X87)</x:f>
        <x:v>121</x:v>
      </x:c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</x:row>
    <x:row r="90" ht="21" customHeight="1">
      <x:c r="A90" s="1"/>
      <x:c r="B90" s="1"/>
      <x:c r="C90" s="15" t="str">
        <x:v>Annual loaded cost per FTE ($000)</x:v>
      </x:c>
      <x:c r="D90" s="28" t="n">
        <x:v>2026</x:v>
      </x:c>
      <x:c r="E90" s="28" t="n">
        <x:v>2027</x:v>
      </x:c>
      <x:c r="F90" s="28" t="n">
        <x:v>2028</x:v>
      </x:c>
      <x:c r="G90" s="28" t="n">
        <x:v>2029</x:v>
      </x:c>
      <x:c r="H90" s="28" t="n">
        <x:v>2030</x:v>
      </x:c>
      <x:c r="I90" s="28" t="n">
        <x:v>2031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</x:row>
    <x:row r="91" ht="21" customHeight="1">
      <x:c r="A91" s="1"/>
      <x:c r="B91" s="1"/>
      <x:c r="C91" s="1" t="str">
        <x:v>Founder and executive</x:v>
      </x:c>
      <x:c r="D91" s="17" t="n">
        <x:v>0</x:v>
      </x:c>
      <x:c r="E91" s="17" t="n">
        <x:v>0</x:v>
      </x:c>
      <x:c r="F91" s="17" t="n">
        <x:v>215</x:v>
      </x:c>
      <x:c r="G91" s="17" t="n">
        <x:v>215</x:v>
      </x:c>
      <x:c r="H91" s="17" t="n">
        <x:v>215</x:v>
      </x:c>
      <x:c r="I91" s="17" t="n">
        <x:v>215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</x:row>
    <x:row r="92" ht="21" customHeight="1">
      <x:c r="A92" s="1"/>
      <x:c r="B92" s="1"/>
      <x:c r="C92" s="1" t="str">
        <x:v>Product and engineering</x:v>
      </x:c>
      <x:c r="D92" s="17" t="n">
        <x:v>0</x:v>
      </x:c>
      <x:c r="E92" s="17" t="n">
        <x:v>150</x:v>
      </x:c>
      <x:c r="F92" s="17" t="n">
        <x:v>185</x:v>
      </x:c>
      <x:c r="G92" s="17" t="n">
        <x:v>185</x:v>
      </x:c>
      <x:c r="H92" s="17" t="n">
        <x:v>185</x:v>
      </x:c>
      <x:c r="I92" s="17" t="n">
        <x:v>185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</x:row>
    <x:row r="93" ht="21" customHeight="1">
      <x:c r="A93" s="1"/>
      <x:c r="B93" s="1"/>
      <x:c r="C93" s="1" t="str">
        <x:v>Clinical and regulatory</x:v>
      </x:c>
      <x:c r="D93" s="17" t="n">
        <x:v>190</x:v>
      </x:c>
      <x:c r="E93" s="17" t="n">
        <x:v>190</x:v>
      </x:c>
      <x:c r="F93" s="17" t="n">
        <x:v>190</x:v>
      </x:c>
      <x:c r="G93" s="17" t="n">
        <x:v>190</x:v>
      </x:c>
      <x:c r="H93" s="17" t="n">
        <x:v>190</x:v>
      </x:c>
      <x:c r="I93" s="17" t="n">
        <x:v>190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</x:row>
    <x:row r="94" ht="21" customHeight="1">
      <x:c r="A94" s="1"/>
      <x:c r="B94" s="1"/>
      <x:c r="C94" s="1" t="str">
        <x:v>Quality</x:v>
      </x:c>
      <x:c r="D94" s="17" t="n">
        <x:v>165</x:v>
      </x:c>
      <x:c r="E94" s="17" t="n">
        <x:v>165</x:v>
      </x:c>
      <x:c r="F94" s="17" t="n">
        <x:v>165</x:v>
      </x:c>
      <x:c r="G94" s="17" t="n">
        <x:v>165</x:v>
      </x:c>
      <x:c r="H94" s="17" t="n">
        <x:v>165</x:v>
      </x:c>
      <x:c r="I94" s="17" t="n">
        <x:v>165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</x:row>
    <x:row r="95" ht="21" customHeight="1">
      <x:c r="A95" s="1"/>
      <x:c r="B95" s="1"/>
      <x:c r="C95" s="1" t="str">
        <x:v>Supply chain oversight</x:v>
      </x:c>
      <x:c r="D95" s="17" t="n">
        <x:v>150</x:v>
      </x:c>
      <x:c r="E95" s="17" t="n">
        <x:v>150</x:v>
      </x:c>
      <x:c r="F95" s="17" t="n">
        <x:v>150</x:v>
      </x:c>
      <x:c r="G95" s="17" t="n">
        <x:v>150</x:v>
      </x:c>
      <x:c r="H95" s="17" t="n">
        <x:v>150</x:v>
      </x:c>
      <x:c r="I95" s="17" t="n">
        <x:v>150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</x:row>
    <x:row r="96" ht="21" customHeight="1">
      <x:c r="A96" s="1"/>
      <x:c r="B96" s="1"/>
      <x:c r="C96" s="1" t="str">
        <x:v>Sales and business development</x:v>
      </x:c>
      <x:c r="D96" s="17" t="n">
        <x:v>190</x:v>
      </x:c>
      <x:c r="E96" s="17" t="n">
        <x:v>190</x:v>
      </x:c>
      <x:c r="F96" s="17" t="n">
        <x:v>190</x:v>
      </x:c>
      <x:c r="G96" s="17" t="n">
        <x:v>190</x:v>
      </x:c>
      <x:c r="H96" s="17" t="n">
        <x:v>190</x:v>
      </x:c>
      <x:c r="I96" s="17" t="n">
        <x:v>190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</x:row>
    <x:row r="97" ht="21" customHeight="1">
      <x:c r="A97" s="1"/>
      <x:c r="B97" s="1"/>
      <x:c r="C97" s="1" t="str">
        <x:v>Customer success</x:v>
      </x:c>
      <x:c r="D97" s="17" t="n">
        <x:v>135</x:v>
      </x:c>
      <x:c r="E97" s="17" t="n">
        <x:v>135</x:v>
      </x:c>
      <x:c r="F97" s="17" t="n">
        <x:v>135</x:v>
      </x:c>
      <x:c r="G97" s="17" t="n">
        <x:v>135</x:v>
      </x:c>
      <x:c r="H97" s="17" t="n">
        <x:v>135</x:v>
      </x:c>
      <x:c r="I97" s="17" t="n">
        <x:v>135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</x:row>
    <x:row r="98" ht="21" customHeight="1">
      <x:c r="A98" s="1"/>
      <x:c r="B98" s="1"/>
      <x:c r="C98" s="1" t="str">
        <x:v>Finance and administration</x:v>
      </x:c>
      <x:c r="D98" s="17" t="n">
        <x:v>150</x:v>
      </x:c>
      <x:c r="E98" s="17" t="n">
        <x:v>150</x:v>
      </x:c>
      <x:c r="F98" s="17" t="n">
        <x:v>150</x:v>
      </x:c>
      <x:c r="G98" s="17" t="n">
        <x:v>150</x:v>
      </x:c>
      <x:c r="H98" s="17" t="n">
        <x:v>150</x:v>
      </x:c>
      <x:c r="I98" s="17" t="n">
        <x:v>150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</x:row>
    <x:row r="100" ht="23" customHeight="1">
      <x:c r="A100" s="1"/>
      <x:c r="B100" s="1"/>
      <x:c r="C100" s="13" t="str">
        <x:v>Financing assumptions</x:v>
      </x:c>
      <x:c r="D100" s="14"/>
      <x:c r="E100" s="14"/>
      <x:c r="F100" s="14"/>
      <x:c r="G100" s="14"/>
      <x:c r="H100" s="14"/>
      <x:c r="I100" s="14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</x:row>
    <x:row r="101" ht="21" customHeight="1">
      <x:c r="A101" s="1"/>
      <x:c r="B101" s="1"/>
      <x:c r="C101" s="1" t="str">
        <x:v>Tranche 1 target ($000)</x:v>
      </x:c>
      <x:c r="D101" s="31" t="n">
        <x:f>'Use of Funds'!D32</x:f>
        <x:v>250</x:v>
      </x:c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</x:row>
    <x:row r="102" ht="21" customHeight="1">
      <x:c r="A102" s="1"/>
      <x:c r="B102" s="1"/>
      <x:c r="C102" s="1" t="str">
        <x:v>Advance funding quarter index</x:v>
      </x:c>
      <x:c r="D102" s="17" t="n">
        <x:v>3</x:v>
      </x:c>
      <x:c r="E102" s="2"/>
      <x:c r="F102" s="2" t="str">
        <x:f>"Q"&amp;(MOD(D102+2,4)+1)&amp;":"&amp;(26+INT((D102+2)/4))</x:f>
        <x:v>Q2:27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</x:row>
    <x:row r="103" ht="21" customHeight="1">
      <x:c r="A103" s="1"/>
      <x:c r="B103" s="1"/>
      <x:c r="C103" s="1" t="str">
        <x:v>Advance funding required ($000)</x:v>
      </x:c>
      <x:c r="D103" s="31" t="n">
        <x:f>MAX(0,SUM('Use of Funds'!E31:INDEX('Use of Funds'!E31:I31,1,$D$104-1))-$D$101)</x:f>
        <x:v>199</x:v>
      </x:c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</x:row>
    <x:row r="104" ht="21" customHeight="1">
      <x:c r="A104" s="1"/>
      <x:c r="B104" s="1"/>
      <x:c r="C104" s="1" t="str">
        <x:v>30-patient review / remaining funding quarter</x:v>
      </x:c>
      <x:c r="D104" s="17" t="n">
        <x:v>4</x:v>
      </x:c>
      <x:c r="E104" s="2"/>
      <x:c r="F104" s="2" t="str">
        <x:f>"Q"&amp;(MOD(D104+2,4)+1)&amp;":"&amp;(26+INT((D104+2)/4))</x:f>
        <x:v>Q3:27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</x:row>
    <x:row r="105" ht="21" customHeight="1">
      <x:c r="A105" s="1"/>
      <x:c r="B105" s="1"/>
      <x:c r="C105" s="1" t="str">
        <x:v>Seed first close ($000)</x:v>
      </x:c>
      <x:c r="D105" s="17" t="n">
        <x:v>1500</x:v>
      </x:c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</x:row>
    <x:row r="106" ht="21" customHeight="1">
      <x:c r="A106" s="1"/>
      <x:c r="B106" s="1"/>
      <x:c r="C106" s="1" t="str">
        <x:v>Seed first-close quarter index</x:v>
      </x:c>
      <x:c r="D106" s="17" t="n">
        <x:v>5</x:v>
      </x:c>
      <x:c r="E106" s="2"/>
      <x:c r="F106" s="2" t="str">
        <x:f>"Q"&amp;(MOD(D106+2,4)+1)&amp;":"&amp;(26+INT((D106+2)/4))</x:f>
        <x:v>Q4:27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</x:row>
    <x:row r="107" ht="21" customHeight="1">
      <x:c r="A107" s="1"/>
      <x:c r="B107" s="1"/>
      <x:c r="C107" s="1" t="str">
        <x:v>Seed final close ($000)</x:v>
      </x:c>
      <x:c r="D107" s="17" t="n">
        <x:v>3500</x:v>
      </x:c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</x:row>
    <x:row r="108" ht="21" customHeight="1">
      <x:c r="A108" s="1"/>
      <x:c r="B108" s="1"/>
      <x:c r="C108" s="1" t="str">
        <x:v>Seed final-close quarter index</x:v>
      </x:c>
      <x:c r="D108" s="17" t="n">
        <x:v>7</x:v>
      </x:c>
      <x:c r="E108" s="2"/>
      <x:c r="F108" s="2" t="str">
        <x:f>"Q"&amp;(MOD(D108+2,4)+1)&amp;":"&amp;(26+INT((D108+2)/4))</x:f>
        <x:v>Q2:28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</x:row>
    <x:row r="109" ht="21" customHeight="1">
      <x:c r="A109" s="1"/>
      <x:c r="B109" s="1"/>
      <x:c r="C109" s="1" t="str">
        <x:v>Series A target ($000)</x:v>
      </x:c>
      <x:c r="D109" s="17" t="n">
        <x:v>6000</x:v>
      </x:c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</x:row>
    <x:row r="110" ht="21" customHeight="1">
      <x:c r="A110" s="1"/>
      <x:c r="B110" s="1"/>
      <x:c r="C110" s="1" t="str">
        <x:v>Series A quarter index</x:v>
      </x:c>
      <x:c r="D110" s="17" t="n">
        <x:v>9</x:v>
      </x:c>
      <x:c r="E110" s="2"/>
      <x:c r="F110" s="2" t="str">
        <x:f>"Q"&amp;(MOD(D110+2,4)+1)&amp;":"&amp;(26+INT((D110+2)/4))</x:f>
        <x:v>Q4:28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</x:row>
    <x:row r="111" ht="21" customHeight="1">
      <x:c r="A111" s="1"/>
      <x:c r="B111" s="1"/>
      <x:c r="C111" s="1" t="str">
        <x:v>Opening forecast cash ($000)</x:v>
      </x:c>
      <x:c r="D111" s="17" t="n">
        <x:v>0</x:v>
      </x:c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</x:row>
    <x:row r="112" ht="21" customHeight="1">
      <x:c r="A112" s="1"/>
      <x:c r="B112" s="1"/>
      <x:c r="C112" s="1" t="str">
        <x:v>Clinical-data license milestone ($000)</x:v>
      </x:c>
      <x:c r="D112" s="17" t="n">
        <x:v>50</x:v>
      </x:c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</x:row>
    <x:row r="113" ht="21" customHeight="1">
      <x:c r="A113" s="1"/>
      <x:c r="B113" s="1"/>
      <x:c r="C113" s="1" t="str">
        <x:v>Clearance license milestone ($000)</x:v>
      </x:c>
      <x:c r="D113" s="17" t="n">
        <x:v>50</x:v>
      </x:c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</x:row>
    <x:row r="114" ht="21" customHeight="1">
      <x:c r="A114" s="1"/>
      <x:c r="B114" s="1"/>
      <x:c r="C114" s="1" t="str">
        <x:v>First-sale license milestone ($000)</x:v>
      </x:c>
      <x:c r="D114" s="17" t="n">
        <x:v>100</x:v>
      </x:c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</x:row>
    <x:row r="115" ht="21" customHeight="1">
      <x:c r="A115" s="1"/>
      <x:c r="B115" s="1"/>
      <x:c r="C115" s="1" t="str">
        <x:v>Existing commitments within total raise ($000)</x:v>
      </x:c>
      <x:c r="D115" s="17" t="n">
        <x:v>150</x:v>
      </x:c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</x:row>
    <x:row r="117" ht="32" customHeight="1">
      <x:c r="A117" s="1"/>
      <x:c r="B117" s="1"/>
      <x:c r="C117" s="9" t="str">
        <x:v>The advance requirement is part of the $1 million tranche-2 target. It must be separately secured before the deferred release.</x:v>
      </x:c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</x:row>
    <x:row r="118" ht="32" customHeight="1">
      <x:c r="A118" s="1"/>
      <x:c r="B118" s="1"/>
      <x:c r="C118" s="9" t="str">
        <x:v>The $150,000 of existing commitments is included in the raise, not added to opening cash. Opening cash starts at zero.</x:v>
      </x:c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</x:row>
    <x:row r="119" ht="32" customHeight="1">
      <x:c r="A119" s="1"/>
      <x:c r="B119" s="1"/>
      <x:c r="C119" s="9" t="str">
        <x:v>The forecast pays all $200,000 of UCLA milestones without assuming a payment deferral. Tax rates are planning assumptions.</x:v>
      </x:c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</x:row>
  </x:sheetData>
  <x:mergeCells>
    <x:mergeCell ref="C4:L4"/>
    <x:mergeCell ref="C117:L117"/>
    <x:mergeCell ref="C118:L118"/>
    <x:mergeCell ref="C119:L119"/>
  </x:mergeCells>
  <x:conditionalFormatting sqref="D41:X42">
    <x:cfRule type="cellIs" dxfId="0" priority="1" operator="lessThan">
      <x:formula>0</x:formula>
    </x:cfRule>
  </x:conditionalFormatting>
  <x:conditionalFormatting sqref="D44:X44">
    <x:cfRule type="cellIs" dxfId="1" priority="2" operator="greaterThan">
      <x:formula>0</x:formula>
    </x:cfRule>
  </x:conditionalFormatting>
  <x:conditionalFormatting sqref="D45:X45">
    <x:cfRule type="cellIs" dxfId="2" priority="3" operator="lessThan">
      <x:formula>0</x:formula>
    </x:cfRule>
  </x:conditionalFormatting>
  <x:dataValidations count="1">
    <x:dataValidation type="whole" operator="between" sqref="D104">
      <x:formula1>2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1" customHeight="1">
      <x:c r="A1" s="1"/>
      <x:c r="B1" s="1"/>
      <x:c r="C1" s="1"/>
      <x:c r="D1" s="2"/>
      <x:c r="E1" s="2"/>
      <x:c r="F1" s="2"/>
      <x:c r="G1" s="2"/>
      <x:c r="H1" s="2"/>
      <x:c r="I1" s="2"/>
      <x:c r="J1" s="2"/>
    </x:row>
    <x:row r="2" ht="21" customHeight="1">
      <x:c r="A2" s="1"/>
      <x:c r="B2" s="1"/>
      <x:c r="C2" s="3" t="str">
        <x:v>RaiCare use of funds</x:v>
      </x:c>
      <x:c r="D2" s="4"/>
      <x:c r="E2" s="4"/>
      <x:c r="F2" s="4"/>
      <x:c r="G2" s="4"/>
      <x:c r="H2" s="4"/>
      <x:c r="I2" s="4"/>
      <x:c r="J2" s="4"/>
    </x:row>
    <x:row r="3" ht="21" customHeight="1">
      <x:c r="A3" s="1"/>
      <x:c r="B3" s="1"/>
      <x:c r="C3" s="5"/>
      <x:c r="D3" s="6"/>
      <x:c r="E3" s="6"/>
      <x:c r="F3" s="6"/>
      <x:c r="G3" s="6"/>
      <x:c r="H3" s="6"/>
      <x:c r="I3" s="6"/>
      <x:c r="J3" s="6"/>
    </x:row>
    <x:row r="4" ht="32" customHeight="1">
      <x:c r="A4" s="1"/>
      <x:c r="B4" s="1"/>
      <x:c r="C4" s="9" t="str">
        <x:v>USD thousands. Quarterly allocations are planning assumptions. Reserved funds are deployed as needed.</x:v>
      </x:c>
      <x:c r="D4" s="10"/>
      <x:c r="E4" s="10"/>
      <x:c r="F4" s="10"/>
      <x:c r="G4" s="10"/>
      <x:c r="H4" s="10"/>
      <x:c r="I4" s="10"/>
      <x:c r="J4" s="10"/>
    </x:row>
    <x:row r="5" ht="21" customHeight="1">
      <x:c r="A5" s="1"/>
      <x:c r="B5" s="1"/>
      <x:c r="C5" s="1"/>
      <x:c r="D5" s="2"/>
      <x:c r="E5" s="2"/>
      <x:c r="F5" s="2"/>
      <x:c r="G5" s="2"/>
      <x:c r="H5" s="2"/>
      <x:c r="I5" s="2"/>
      <x:c r="J5" s="2"/>
    </x:row>
    <x:row r="6" ht="21" customHeight="1">
      <x:c r="A6" s="1"/>
      <x:c r="B6" s="1"/>
      <x:c r="C6" s="15" t="str">
        <x:v>Program</x:v>
      </x:c>
      <x:c r="D6" s="16" t="str">
        <x:v>Budget</x:v>
      </x:c>
      <x:c r="E6" s="16" t="str">
        <x:v>Q4:26</x:v>
      </x:c>
      <x:c r="F6" s="16" t="str">
        <x:v>Q1:27</x:v>
      </x:c>
      <x:c r="G6" s="16" t="str">
        <x:v>Q2:27</x:v>
      </x:c>
      <x:c r="H6" s="16" t="str">
        <x:v>Q3:27</x:v>
      </x:c>
      <x:c r="I6" s="16" t="str">
        <x:v>Q4:27</x:v>
      </x:c>
      <x:c r="J6" s="16" t="str">
        <x:v>Reserved</x:v>
      </x:c>
    </x:row>
    <x:row r="7" ht="23" customHeight="1">
      <x:c r="A7" s="1"/>
      <x:c r="B7" s="1"/>
      <x:c r="C7" s="13" t="str">
        <x:v>Tranche 1</x:v>
      </x:c>
      <x:c r="D7" s="14"/>
      <x:c r="E7" s="14"/>
      <x:c r="F7" s="14"/>
      <x:c r="G7" s="14"/>
      <x:c r="H7" s="14"/>
      <x:c r="I7" s="14"/>
      <x:c r="J7" s="14"/>
    </x:row>
    <x:row r="8" ht="21" customHeight="1">
      <x:c r="A8" s="1"/>
      <x:c r="B8" s="1"/>
      <x:c r="C8" s="1" t="str">
        <x:v>Clinical device materials</x:v>
      </x:c>
      <x:c r="D8" s="2" t="n">
        <x:f>SUM(E8:J8)</x:f>
        <x:v>18</x:v>
      </x:c>
      <x:c r="E8" s="17" t="n">
        <x:v>8</x:v>
      </x:c>
      <x:c r="F8" s="17" t="n">
        <x:v>10</x:v>
      </x:c>
      <x:c r="G8" s="17" t="n">
        <x:v>0</x:v>
      </x:c>
      <x:c r="H8" s="17" t="n">
        <x:v>0</x:v>
      </x:c>
      <x:c r="I8" s="17" t="n">
        <x:v>0</x:v>
      </x:c>
      <x:c r="J8" s="17" t="n">
        <x:v>0</x:v>
      </x:c>
    </x:row>
    <x:row r="9" ht="21" customHeight="1">
      <x:c r="A9" s="1"/>
      <x:c r="B9" s="1"/>
      <x:c r="C9" s="1" t="str">
        <x:v>Fabrication labor</x:v>
      </x:c>
      <x:c r="D9" s="2" t="n">
        <x:f>SUM(E9:J9)</x:f>
        <x:v>20</x:v>
      </x:c>
      <x:c r="E9" s="17" t="n">
        <x:v>10</x:v>
      </x:c>
      <x:c r="F9" s="17" t="n">
        <x:v>10</x:v>
      </x:c>
      <x:c r="G9" s="17" t="n">
        <x:v>0</x:v>
      </x:c>
      <x:c r="H9" s="17" t="n">
        <x:v>0</x:v>
      </x:c>
      <x:c r="I9" s="17" t="n">
        <x:v>0</x:v>
      </x:c>
      <x:c r="J9" s="17" t="n">
        <x:v>0</x:v>
      </x:c>
    </x:row>
    <x:row r="10" ht="21" customHeight="1">
      <x:c r="A10" s="1"/>
      <x:c r="B10" s="1"/>
      <x:c r="C10" s="1" t="str">
        <x:v>Packaging</x:v>
      </x:c>
      <x:c r="D10" s="2" t="n">
        <x:f>SUM(E10:J10)</x:f>
        <x:v>10</x:v>
      </x:c>
      <x:c r="E10" s="17" t="n">
        <x:v>0</x:v>
      </x:c>
      <x:c r="F10" s="17" t="n">
        <x:v>10</x:v>
      </x:c>
      <x:c r="G10" s="17" t="n">
        <x:v>0</x:v>
      </x:c>
      <x:c r="H10" s="17" t="n">
        <x:v>0</x:v>
      </x:c>
      <x:c r="I10" s="17" t="n">
        <x:v>0</x:v>
      </x:c>
      <x:c r="J10" s="17" t="n">
        <x:v>0</x:v>
      </x:c>
    </x:row>
    <x:row r="11" ht="21" customHeight="1">
      <x:c r="A11" s="1"/>
      <x:c r="B11" s="1"/>
      <x:c r="C11" s="1" t="str">
        <x:v>Tooling</x:v>
      </x:c>
      <x:c r="D11" s="2" t="n">
        <x:f>SUM(E11:J11)</x:f>
        <x:v>50</x:v>
      </x:c>
      <x:c r="E11" s="17" t="n">
        <x:v>20</x:v>
      </x:c>
      <x:c r="F11" s="17" t="n">
        <x:v>30</x:v>
      </x:c>
      <x:c r="G11" s="17" t="n">
        <x:v>0</x:v>
      </x:c>
      <x:c r="H11" s="17" t="n">
        <x:v>0</x:v>
      </x:c>
      <x:c r="I11" s="17" t="n">
        <x:v>0</x:v>
      </x:c>
      <x:c r="J11" s="17" t="n">
        <x:v>0</x:v>
      </x:c>
    </x:row>
    <x:row r="12" ht="21" customHeight="1">
      <x:c r="A12" s="1"/>
      <x:c r="B12" s="1"/>
      <x:c r="C12" s="1" t="str">
        <x:v>Engineering</x:v>
      </x:c>
      <x:c r="D12" s="2" t="n">
        <x:f>SUM(E12:J12)</x:f>
        <x:v>25</x:v>
      </x:c>
      <x:c r="E12" s="17" t="n">
        <x:v>10</x:v>
      </x:c>
      <x:c r="F12" s="17" t="n">
        <x:v>15</x:v>
      </x:c>
      <x:c r="G12" s="17" t="n">
        <x:v>0</x:v>
      </x:c>
      <x:c r="H12" s="17" t="n">
        <x:v>0</x:v>
      </x:c>
      <x:c r="I12" s="17" t="n">
        <x:v>0</x:v>
      </x:c>
      <x:c r="J12" s="17" t="n">
        <x:v>0</x:v>
      </x:c>
    </x:row>
    <x:row r="13" ht="21" customHeight="1">
      <x:c r="A13" s="1"/>
      <x:c r="B13" s="1"/>
      <x:c r="C13" s="1" t="str">
        <x:v>Sterilization validation</x:v>
      </x:c>
      <x:c r="D13" s="2" t="n">
        <x:f>SUM(E13:J13)</x:f>
        <x:v>6</x:v>
      </x:c>
      <x:c r="E13" s="17" t="n">
        <x:v>0</x:v>
      </x:c>
      <x:c r="F13" s="17" t="n">
        <x:v>6</x:v>
      </x:c>
      <x:c r="G13" s="17" t="n">
        <x:v>0</x:v>
      </x:c>
      <x:c r="H13" s="17" t="n">
        <x:v>0</x:v>
      </x:c>
      <x:c r="I13" s="17" t="n">
        <x:v>0</x:v>
      </x:c>
      <x:c r="J13" s="17" t="n">
        <x:v>0</x:v>
      </x:c>
    </x:row>
    <x:row r="14" ht="21" customHeight="1">
      <x:c r="A14" s="1"/>
      <x:c r="B14" s="1"/>
      <x:c r="C14" s="1" t="str">
        <x:v>Biocompatibility validation</x:v>
      </x:c>
      <x:c r="D14" s="2" t="n">
        <x:f>SUM(E14:J14)</x:f>
        <x:v>10</x:v>
      </x:c>
      <x:c r="E14" s="17" t="n">
        <x:v>0</x:v>
      </x:c>
      <x:c r="F14" s="17" t="n">
        <x:v>10</x:v>
      </x:c>
      <x:c r="G14" s="17" t="n">
        <x:v>0</x:v>
      </x:c>
      <x:c r="H14" s="17" t="n">
        <x:v>0</x:v>
      </x:c>
      <x:c r="I14" s="17" t="n">
        <x:v>0</x:v>
      </x:c>
      <x:c r="J14" s="17" t="n">
        <x:v>0</x:v>
      </x:c>
    </x:row>
    <x:row r="15" ht="21" customHeight="1">
      <x:c r="A15" s="1"/>
      <x:c r="B15" s="1"/>
      <x:c r="C15" s="1" t="str">
        <x:v>C2SHiP study membership</x:v>
      </x:c>
      <x:c r="D15" s="2" t="n">
        <x:f>SUM(E15:J15)</x:f>
        <x:v>50</x:v>
      </x:c>
      <x:c r="E15" s="17" t="n">
        <x:v>50</x:v>
      </x:c>
      <x:c r="F15" s="17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0</x:v>
      </x:c>
    </x:row>
    <x:row r="16" ht="21" customHeight="1">
      <x:c r="A16" s="1"/>
      <x:c r="B16" s="1"/>
      <x:c r="C16" s="1" t="str">
        <x:v>Logistics</x:v>
      </x:c>
      <x:c r="D16" s="2" t="n">
        <x:f>SUM(E16:J16)</x:f>
        <x:v>5</x:v>
      </x:c>
      <x:c r="E16" s="17" t="n">
        <x:v>0</x:v>
      </x:c>
      <x:c r="F16" s="17" t="n">
        <x:v>5</x:v>
      </x:c>
      <x:c r="G16" s="17" t="n">
        <x:v>0</x:v>
      </x:c>
      <x:c r="H16" s="17" t="n">
        <x:v>0</x:v>
      </x:c>
      <x:c r="I16" s="17" t="n">
        <x:v>0</x:v>
      </x:c>
      <x:c r="J16" s="17" t="n">
        <x:v>0</x:v>
      </x:c>
    </x:row>
    <x:row r="17" ht="21" customHeight="1">
      <x:c r="A17" s="1"/>
      <x:c r="B17" s="1"/>
      <x:c r="C17" s="1" t="str">
        <x:v>Regulatory and reimbursement</x:v>
      </x:c>
      <x:c r="D17" s="2" t="n">
        <x:f>SUM(E17:J17)</x:f>
        <x:v>10</x:v>
      </x:c>
      <x:c r="E17" s="17" t="n">
        <x:v>0</x:v>
      </x:c>
      <x:c r="F17" s="17" t="n">
        <x:v>10</x:v>
      </x:c>
      <x:c r="G17" s="17" t="n">
        <x:v>0</x:v>
      </x:c>
      <x:c r="H17" s="17" t="n">
        <x:v>0</x:v>
      </x:c>
      <x:c r="I17" s="17" t="n">
        <x:v>0</x:v>
      </x:c>
      <x:c r="J17" s="17" t="n">
        <x:v>0</x:v>
      </x:c>
    </x:row>
    <x:row r="18" ht="21" customHeight="1">
      <x:c r="A18" s="1"/>
      <x:c r="B18" s="1"/>
      <x:c r="C18" s="1" t="str">
        <x:v>Corporate legal and IP</x:v>
      </x:c>
      <x:c r="D18" s="2" t="n">
        <x:f>SUM(E18:J18)</x:f>
        <x:v>40</x:v>
      </x:c>
      <x:c r="E18" s="17" t="n">
        <x:v>25</x:v>
      </x:c>
      <x:c r="F18" s="17" t="n">
        <x:v>15</x:v>
      </x:c>
      <x:c r="G18" s="17" t="n">
        <x:v>0</x:v>
      </x:c>
      <x:c r="H18" s="17" t="n">
        <x:v>0</x:v>
      </x:c>
      <x:c r="I18" s="17" t="n">
        <x:v>0</x:v>
      </x:c>
      <x:c r="J18" s="17" t="n">
        <x:v>0</x:v>
      </x:c>
    </x:row>
    <x:row r="19" ht="21" customHeight="1">
      <x:c r="A19" s="1"/>
      <x:c r="B19" s="1"/>
      <x:c r="C19" s="1" t="str">
        <x:v>Tranche 1 contingency</x:v>
      </x:c>
      <x:c r="D19" s="2" t="n">
        <x:f>SUM(E19:J19)</x:f>
        <x:v>6</x:v>
      </x:c>
      <x:c r="E19" s="17" t="n">
        <x:v>0</x:v>
      </x:c>
      <x:c r="F19" s="17" t="n">
        <x:v>0</x:v>
      </x:c>
      <x:c r="G19" s="17" t="n">
        <x:v>0</x:v>
      </x:c>
      <x:c r="H19" s="17" t="n">
        <x:v>0</x:v>
      </x:c>
      <x:c r="I19" s="17" t="n">
        <x:v>0</x:v>
      </x:c>
      <x:c r="J19" s="17" t="n">
        <x:v>6</x:v>
      </x:c>
    </x:row>
    <x:row r="20" ht="21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</x:row>
    <x:row r="21" ht="23" customHeight="1">
      <x:c r="A21" s="1"/>
      <x:c r="B21" s="1"/>
      <x:c r="C21" s="13" t="str">
        <x:v>Tranche 2</x:v>
      </x:c>
      <x:c r="D21" s="14"/>
      <x:c r="E21" s="14"/>
      <x:c r="F21" s="14"/>
      <x:c r="G21" s="14"/>
      <x:c r="H21" s="14"/>
      <x:c r="I21" s="14"/>
      <x:c r="J21" s="14"/>
    </x:row>
    <x:row r="22" ht="21" customHeight="1">
      <x:c r="A22" s="1"/>
      <x:c r="B22" s="1"/>
      <x:c r="C22" s="1" t="str">
        <x:v>Follow-on R&amp;D, testing and manufacturing</x:v>
      </x:c>
      <x:c r="D22" s="2" t="n">
        <x:f>SUM(E22:J22)</x:f>
        <x:v>177</x:v>
      </x:c>
      <x:c r="E22" s="17" t="n">
        <x:v>0</x:v>
      </x:c>
      <x:c r="F22" s="17" t="n">
        <x:v>0</x:v>
      </x:c>
      <x:c r="G22" s="17" t="n">
        <x:v>35</x:v>
      </x:c>
      <x:c r="H22" s="17" t="n">
        <x:v>70</x:v>
      </x:c>
      <x:c r="I22" s="17" t="n">
        <x:v>72</x:v>
      </x:c>
      <x:c r="J22" s="17" t="n">
        <x:v>0</x:v>
      </x:c>
    </x:row>
    <x:row r="23" ht="21" customHeight="1">
      <x:c r="A23" s="1"/>
      <x:c r="B23" s="1"/>
      <x:c r="C23" s="1" t="str">
        <x:v>FDA testing, submission and QMS</x:v>
      </x:c>
      <x:c r="D23" s="2" t="n">
        <x:f>SUM(E23:J23)</x:f>
        <x:v>244</x:v>
      </x:c>
      <x:c r="E23" s="17" t="n">
        <x:v>0</x:v>
      </x:c>
      <x:c r="F23" s="17" t="n">
        <x:v>0</x:v>
      </x:c>
      <x:c r="G23" s="17" t="n">
        <x:v>100</x:v>
      </x:c>
      <x:c r="H23" s="17" t="n">
        <x:v>100</x:v>
      </x:c>
      <x:c r="I23" s="17" t="n">
        <x:v>44</x:v>
      </x:c>
      <x:c r="J23" s="17" t="n">
        <x:v>0</x:v>
      </x:c>
    </x:row>
    <x:row r="24" ht="21" customHeight="1">
      <x:c r="A24" s="1"/>
      <x:c r="B24" s="1"/>
      <x:c r="C24" s="1" t="str">
        <x:v>UCLA license payment</x:v>
      </x:c>
      <x:c r="D24" s="2" t="n">
        <x:f>SUM(E24:J24)</x:f>
        <x:v>50</x:v>
      </x:c>
      <x:c r="E24" s="17" t="n">
        <x:v>0</x:v>
      </x:c>
      <x:c r="F24" s="17" t="n">
        <x:v>0</x:v>
      </x:c>
      <x:c r="G24" s="17" t="n">
        <x:v>0</x:v>
      </x:c>
      <x:c r="H24" s="17" t="n">
        <x:v>50</x:v>
      </x:c>
      <x:c r="I24" s="17" t="n">
        <x:v>0</x:v>
      </x:c>
      <x:c r="J24" s="17" t="n">
        <x:v>0</x:v>
      </x:c>
    </x:row>
    <x:row r="25" ht="21" customHeight="1">
      <x:c r="A25" s="1"/>
      <x:c r="B25" s="1"/>
      <x:c r="C25" s="1" t="str">
        <x:v>Insurance, administration, ops and stipend</x:v>
      </x:c>
      <x:c r="D25" s="2" t="n">
        <x:f>SUM(E25:J25)</x:f>
        <x:v>100</x:v>
      </x:c>
      <x:c r="E25" s="17" t="n">
        <x:v>0</x:v>
      </x:c>
      <x:c r="F25" s="17" t="n">
        <x:v>0</x:v>
      </x:c>
      <x:c r="G25" s="17" t="n">
        <x:v>25</x:v>
      </x:c>
      <x:c r="H25" s="17" t="n">
        <x:v>35</x:v>
      </x:c>
      <x:c r="I25" s="17" t="n">
        <x:v>40</x:v>
      </x:c>
      <x:c r="J25" s="17" t="n">
        <x:v>0</x:v>
      </x:c>
    </x:row>
    <x:row r="26" ht="21" customHeight="1">
      <x:c r="A26" s="1"/>
      <x:c r="B26" s="1"/>
      <x:c r="C26" s="1" t="str">
        <x:v>Additional IP and legal</x:v>
      </x:c>
      <x:c r="D26" s="2" t="n">
        <x:f>SUM(E26:J26)</x:f>
        <x:v>79</x:v>
      </x:c>
      <x:c r="E26" s="17" t="n">
        <x:v>0</x:v>
      </x:c>
      <x:c r="F26" s="17" t="n">
        <x:v>0</x:v>
      </x:c>
      <x:c r="G26" s="17" t="n">
        <x:v>20</x:v>
      </x:c>
      <x:c r="H26" s="17" t="n">
        <x:v>30</x:v>
      </x:c>
      <x:c r="I26" s="17" t="n">
        <x:v>29</x:v>
      </x:c>
      <x:c r="J26" s="17" t="n">
        <x:v>0</x:v>
      </x:c>
    </x:row>
    <x:row r="27" ht="21" customHeight="1">
      <x:c r="A27" s="1"/>
      <x:c r="B27" s="1"/>
      <x:c r="C27" s="1" t="str">
        <x:v>Dedicated engineering resource</x:v>
      </x:c>
      <x:c r="D27" s="2" t="n">
        <x:f>SUM(E27:J27)</x:f>
        <x:v>75</x:v>
      </x:c>
      <x:c r="E27" s="17" t="n">
        <x:v>0</x:v>
      </x:c>
      <x:c r="F27" s="17" t="n">
        <x:v>0</x:v>
      </x:c>
      <x:c r="G27" s="17" t="n">
        <x:v>25</x:v>
      </x:c>
      <x:c r="H27" s="17" t="n">
        <x:v>25</x:v>
      </x:c>
      <x:c r="I27" s="17" t="n">
        <x:v>25</x:v>
      </x:c>
      <x:c r="J27" s="17" t="n">
        <x:v>0</x:v>
      </x:c>
    </x:row>
    <x:row r="28" ht="21" customHeight="1">
      <x:c r="A28" s="1"/>
      <x:c r="B28" s="1"/>
      <x:c r="C28" s="1" t="str">
        <x:v>Commercial inventory and launch working capital</x:v>
      </x:c>
      <x:c r="D28" s="2" t="n">
        <x:f>SUM(E28:J28)</x:f>
        <x:v>150</x:v>
      </x:c>
      <x:c r="E28" s="17" t="n">
        <x:v>0</x:v>
      </x:c>
      <x:c r="F28" s="17" t="n">
        <x:v>0</x:v>
      </x:c>
      <x:c r="G28" s="17" t="n">
        <x:v>0</x:v>
      </x:c>
      <x:c r="H28" s="17" t="n">
        <x:v>0</x:v>
      </x:c>
      <x:c r="I28" s="17" t="n">
        <x:v>0</x:v>
      </x:c>
      <x:c r="J28" s="17" t="n">
        <x:v>150</x:v>
      </x:c>
    </x:row>
    <x:row r="29" ht="21" customHeight="1">
      <x:c r="A29" s="1"/>
      <x:c r="B29" s="1"/>
      <x:c r="C29" s="1" t="str">
        <x:v>Tranche 2 contingency</x:v>
      </x:c>
      <x:c r="D29" s="2" t="n">
        <x:f>SUM(E29:J29)</x:f>
        <x:v>125</x:v>
      </x:c>
      <x:c r="E29" s="17" t="n">
        <x:v>0</x:v>
      </x:c>
      <x:c r="F29" s="17" t="n">
        <x:v>0</x:v>
      </x:c>
      <x:c r="G29" s="17" t="n">
        <x:v>0</x:v>
      </x:c>
      <x:c r="H29" s="17" t="n">
        <x:v>0</x:v>
      </x:c>
      <x:c r="I29" s="17" t="n">
        <x:v>0</x:v>
      </x:c>
      <x:c r="J29" s="17" t="n">
        <x:v>125</x:v>
      </x:c>
    </x:row>
    <x:row r="30" ht="21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</x:row>
    <x:row r="31" ht="21" customHeight="1">
      <x:c r="A31" s="1"/>
      <x:c r="B31" s="1"/>
      <x:c r="C31" s="20" t="str">
        <x:v>Total financing target</x:v>
      </x:c>
      <x:c r="D31" s="22" t="n">
        <x:f>SUM(D8:D19,D22:D29)</x:f>
        <x:v>1250</x:v>
      </x:c>
      <x:c r="E31" s="22" t="n">
        <x:f>SUM(E8:E19,E22:E29)</x:f>
        <x:v>123</x:v>
      </x:c>
      <x:c r="F31" s="22" t="n">
        <x:f>SUM(F8:F19,F22:F29)</x:f>
        <x:v>121</x:v>
      </x:c>
      <x:c r="G31" s="22" t="n">
        <x:f>SUM(G8:G19,G22:G29)</x:f>
        <x:v>205</x:v>
      </x:c>
      <x:c r="H31" s="22" t="n">
        <x:f>SUM(H8:H19,H22:H29)</x:f>
        <x:v>310</x:v>
      </x:c>
      <x:c r="I31" s="22" t="n">
        <x:f>SUM(I8:I19,I22:I29)</x:f>
        <x:v>210</x:v>
      </x:c>
      <x:c r="J31" s="22" t="n">
        <x:f>SUM(J8:J19,J22:J29)</x:f>
        <x:v>281</x:v>
      </x:c>
    </x:row>
    <x:row r="32" ht="21" customHeight="1">
      <x:c r="A32" s="1"/>
      <x:c r="B32" s="1"/>
      <x:c r="C32" s="1" t="str">
        <x:v>Tranche 1 total</x:v>
      </x:c>
      <x:c r="D32" s="2" t="n">
        <x:f>SUM(D8:D19)</x:f>
        <x:v>250</x:v>
      </x:c>
      <x:c r="E32" s="2" t="n">
        <x:f>SUM(E8:E19)</x:f>
        <x:v>123</x:v>
      </x:c>
      <x:c r="F32" s="2" t="n">
        <x:f>SUM(F8:F19)</x:f>
        <x:v>121</x:v>
      </x:c>
      <x:c r="G32" s="2" t="n">
        <x:f>SUM(G8:G19)</x:f>
        <x:v>0</x:v>
      </x:c>
      <x:c r="H32" s="2" t="n">
        <x:f>SUM(H8:H19)</x:f>
        <x:v>0</x:v>
      </x:c>
      <x:c r="I32" s="2" t="n">
        <x:f>SUM(I8:I19)</x:f>
        <x:v>0</x:v>
      </x:c>
      <x:c r="J32" s="2" t="n">
        <x:f>SUM(J8:J19)</x:f>
        <x:v>6</x:v>
      </x:c>
    </x:row>
    <x:row r="33" ht="21" customHeight="1">
      <x:c r="A33" s="1"/>
      <x:c r="B33" s="1"/>
      <x:c r="C33" s="1" t="str">
        <x:v>Tranche 2 total</x:v>
      </x:c>
      <x:c r="D33" s="2" t="n">
        <x:f>SUM(D22:D29)</x:f>
        <x:v>1000</x:v>
      </x:c>
      <x:c r="E33" s="2" t="n">
        <x:f>SUM(E22:E29)</x:f>
        <x:v>0</x:v>
      </x:c>
      <x:c r="F33" s="2" t="n">
        <x:f>SUM(F22:F29)</x:f>
        <x:v>0</x:v>
      </x:c>
      <x:c r="G33" s="2" t="n">
        <x:f>SUM(G22:G29)</x:f>
        <x:v>205</x:v>
      </x:c>
      <x:c r="H33" s="2" t="n">
        <x:f>SUM(H22:H29)</x:f>
        <x:v>310</x:v>
      </x:c>
      <x:c r="I33" s="2" t="n">
        <x:f>SUM(I22:I29)</x:f>
        <x:v>210</x:v>
      </x:c>
      <x:c r="J33" s="2" t="n">
        <x:f>SUM(J22:J29)</x:f>
        <x:v>275</x:v>
      </x:c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</x:row>
    <x:row r="35" ht="32" customHeight="1">
      <x:c r="A35" s="1"/>
      <x:c r="B35" s="1"/>
      <x:c r="C35" s="9" t="str">
        <x:v>The $50,000 C2SHiP charge covers the full N=30 study. Corporate legal covers governance and SAFE execution.</x:v>
      </x:c>
      <x:c r="D35" s="10"/>
      <x:c r="E35" s="10"/>
      <x:c r="F35" s="10"/>
      <x:c r="G35" s="10"/>
      <x:c r="H35" s="10"/>
      <x:c r="I35" s="10"/>
      <x:c r="J35" s="10"/>
    </x:row>
    <x:row r="36" ht="32" customHeight="1">
      <x:c r="A36" s="1"/>
      <x:c r="B36" s="1"/>
      <x:c r="C36" s="9" t="str">
        <x:v>Initial IP funding covers the joint UCLA patent and separate RaiCare filings. Inventory and contingency remain cash reserves until used.</x:v>
      </x:c>
      <x:c r="D36" s="10"/>
      <x:c r="E36" s="10"/>
      <x:c r="F36" s="10"/>
      <x:c r="G36" s="10"/>
      <x:c r="H36" s="10"/>
      <x:c r="I36" s="10"/>
      <x:c r="J36" s="10"/>
    </x:row>
    <x:row r="37" ht="21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</x:row>
    <x:row r="38" ht="23" customHeight="1">
      <x:c r="A38" s="1"/>
      <x:c r="B38" s="1"/>
      <x:c r="C38" s="13" t="str">
        <x:v>Execution milestones</x:v>
      </x:c>
      <x:c r="D38" s="14"/>
      <x:c r="E38" s="14"/>
      <x:c r="F38" s="14"/>
      <x:c r="G38" s="14"/>
      <x:c r="H38" s="14"/>
      <x:c r="I38" s="14"/>
      <x:c r="J38" s="14"/>
    </x:row>
    <x:row r="39" ht="21" customHeight="1">
      <x:c r="A39" s="1"/>
      <x:c r="B39" s="1"/>
      <x:c r="C39" s="1" t="str">
        <x:v>Clinical protocol ready for site review</x:v>
      </x:c>
      <x:c r="D39" s="2"/>
      <x:c r="E39" s="2"/>
      <x:c r="F39" s="2" t="str">
        <x:v>October 2026</x:v>
      </x:c>
      <x:c r="G39" s="2"/>
      <x:c r="H39" s="2"/>
      <x:c r="I39" s="2"/>
      <x:c r="J39" s="2"/>
    </x:row>
    <x:row r="40" ht="21" customHeight="1">
      <x:c r="A40" s="1"/>
      <x:c r="B40" s="1"/>
      <x:c r="C40" s="1" t="str">
        <x:v>C2SHiP membership</x:v>
      </x:c>
      <x:c r="D40" s="2"/>
      <x:c r="E40" s="2"/>
      <x:c r="F40" s="2" t="str">
        <x:v>November 2026</x:v>
      </x:c>
      <x:c r="G40" s="2"/>
      <x:c r="H40" s="2"/>
      <x:c r="I40" s="2"/>
      <x:c r="J40" s="2"/>
    </x:row>
    <x:row r="41" ht="21" customHeight="1">
      <x:c r="A41" s="1"/>
      <x:c r="B41" s="1"/>
      <x:c r="C41" s="1" t="str">
        <x:v>Engineering samples of two designs</x:v>
      </x:c>
      <x:c r="D41" s="2"/>
      <x:c r="E41" s="2"/>
      <x:c r="F41" s="2" t="str">
        <x:v>December 2026</x:v>
      </x:c>
      <x:c r="G41" s="2"/>
      <x:c r="H41" s="2"/>
      <x:c r="I41" s="2"/>
      <x:c r="J41" s="2"/>
    </x:row>
    <x:row r="42" ht="21" customHeight="1">
      <x:c r="A42" s="1"/>
      <x:c r="B42" s="1"/>
      <x:c r="C42" s="1" t="str">
        <x:v>Sterilized clinical devices and engineering report</x:v>
      </x:c>
      <x:c r="D42" s="2"/>
      <x:c r="E42" s="2"/>
      <x:c r="F42" s="2" t="str">
        <x:v>February 2027</x:v>
      </x:c>
      <x:c r="G42" s="2"/>
      <x:c r="H42" s="2"/>
      <x:c r="I42" s="2"/>
      <x:c r="J42" s="2"/>
    </x:row>
    <x:row r="43" ht="21" customHeight="1">
      <x:c r="A43" s="1"/>
      <x:c r="B43" s="1"/>
      <x:c r="C43" s="1" t="str">
        <x:v>Clinical study begins</x:v>
      </x:c>
      <x:c r="D43" s="2"/>
      <x:c r="E43" s="2"/>
      <x:c r="F43" s="2" t="str">
        <x:v>March 2027</x:v>
      </x:c>
      <x:c r="G43" s="2"/>
      <x:c r="H43" s="2"/>
      <x:c r="I43" s="2"/>
      <x:c r="J43" s="2"/>
    </x:row>
    <x:row r="44" ht="21" customHeight="1">
      <x:c r="A44" s="1"/>
      <x:c r="B44" s="1"/>
      <x:c r="C44" s="1" t="str">
        <x:v>Final-device biocompatibility testing</x:v>
      </x:c>
      <x:c r="D44" s="2"/>
      <x:c r="E44" s="2"/>
      <x:c r="F44" s="2" t="str">
        <x:v>April 2027</x:v>
      </x:c>
      <x:c r="G44" s="2"/>
      <x:c r="H44" s="2"/>
      <x:c r="I44" s="2"/>
      <x:c r="J44" s="2"/>
    </x:row>
    <x:row r="45" ht="21" customHeight="1">
      <x:c r="A45" s="1"/>
      <x:c r="B45" s="1"/>
      <x:c r="C45" s="1" t="str">
        <x:v>Shipping validation</x:v>
      </x:c>
      <x:c r="D45" s="2"/>
      <x:c r="E45" s="2"/>
      <x:c r="F45" s="2" t="str">
        <x:v>June 2027</x:v>
      </x:c>
      <x:c r="G45" s="2"/>
      <x:c r="H45" s="2"/>
      <x:c r="I45" s="2"/>
      <x:c r="J45" s="2"/>
    </x:row>
    <x:row r="46" ht="21" customHeight="1">
      <x:c r="A46" s="1"/>
      <x:c r="B46" s="1"/>
      <x:c r="C46" s="1" t="str">
        <x:v>Technical file and FDA submission</x:v>
      </x:c>
      <x:c r="D46" s="2"/>
      <x:c r="E46" s="2"/>
      <x:c r="F46" s="2" t="str">
        <x:v>July 2027</x:v>
      </x:c>
      <x:c r="G46" s="2"/>
      <x:c r="H46" s="2"/>
      <x:c r="I46" s="2"/>
      <x:c r="J46" s="2"/>
    </x:row>
    <x:row r="47" ht="21" customHeight="1">
      <x:c r="A47" s="1"/>
      <x:c r="B47" s="1"/>
      <x:c r="C47" s="1" t="str">
        <x:v>Operations office</x:v>
      </x:c>
      <x:c r="D47" s="2"/>
      <x:c r="E47" s="2"/>
      <x:c r="F47" s="2" t="str">
        <x:v>September 2027</x:v>
      </x:c>
      <x:c r="G47" s="2"/>
      <x:c r="H47" s="2"/>
      <x:c r="I47" s="2"/>
      <x:c r="J47" s="2"/>
    </x:row>
    <x:row r="48" ht="21" customHeight="1">
      <x:c r="A48" s="1"/>
      <x:c r="B48" s="1"/>
      <x:c r="C48" s="1" t="str">
        <x:v>First commercial sales partnership</x:v>
      </x:c>
      <x:c r="D48" s="2"/>
      <x:c r="E48" s="2"/>
      <x:c r="F48" s="2" t="str">
        <x:v>December 2027, subject to FDA clearance</x:v>
      </x:c>
      <x:c r="G48" s="2"/>
      <x:c r="H48" s="2"/>
      <x:c r="I48" s="2"/>
      <x:c r="J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</x:row>
    <x:row r="50" ht="32" customHeight="1">
      <x:c r="A50" s="1"/>
      <x:c r="B50" s="1"/>
      <x:c r="C50" s="9" t="str">
        <x:v>First-five results support fundraising in Q2 2027. Deferred funding requires the 30-patient review and agreed go/no-go criteria.</x:v>
      </x:c>
      <x:c r="D50" s="10"/>
      <x:c r="E50" s="10"/>
      <x:c r="F50" s="10"/>
      <x:c r="G50" s="10"/>
      <x:c r="H50" s="10"/>
      <x:c r="I50" s="10"/>
      <x:c r="J50" s="10"/>
    </x:row>
    <x:row r="51" ht="32" customHeight="1">
      <x:c r="A51" s="1"/>
      <x:c r="B51" s="1"/>
      <x:c r="C51" s="9" t="str">
        <x:v>The forecast assumes the 30-patient review and remaining tranche-2 funding in Q3 2027. Study dates remain subject to site execution.</x:v>
      </x:c>
      <x:c r="D51" s="10"/>
      <x:c r="E51" s="10"/>
      <x:c r="F51" s="10"/>
      <x:c r="G51" s="10"/>
      <x:c r="H51" s="10"/>
      <x:c r="I51" s="10"/>
      <x:c r="J51" s="10"/>
    </x:row>
    <x:row r="52" ht="32" customHeight="1">
      <x:c r="A52" s="1"/>
      <x:c r="B52" s="1"/>
      <x:c r="C52" s="9" t="str">
        <x:v>April–July regulatory targets require part of tranche 2 before that review. The advance requirement is shown separately in Cash Flow.</x:v>
      </x:c>
      <x:c r="D52" s="10"/>
      <x:c r="E52" s="10"/>
      <x:c r="F52" s="10"/>
      <x:c r="G52" s="10"/>
      <x:c r="H52" s="10"/>
      <x:c r="I52" s="10"/>
      <x:c r="J52" s="10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</x:row>
    <x:row r="54" ht="32" customHeight="1">
      <x:c r="A54" s="1"/>
      <x:c r="B54" s="1"/>
      <x:c r="C54" s="9" t="str">
        <x:v>The $50,000 license budget is retained. A further $150,000 for clearance and first-sale milestones is included separately in the cash forecast.</x:v>
      </x:c>
      <x:c r="D54" s="10"/>
      <x:c r="E54" s="10"/>
      <x:c r="F54" s="10"/>
      <x:c r="G54" s="10"/>
      <x:c r="H54" s="10"/>
      <x:c r="I54" s="10"/>
      <x:c r="J54" s="10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</x:row>
  </x:sheetData>
  <x:mergeCells>
    <x:mergeCell ref="C4:J4"/>
    <x:mergeCell ref="C35:J35"/>
    <x:mergeCell ref="C36:J36"/>
    <x:mergeCell ref="F39:J39"/>
    <x:mergeCell ref="F40:J40"/>
    <x:mergeCell ref="F41:J41"/>
    <x:mergeCell ref="F42:J42"/>
    <x:mergeCell ref="F43:J43"/>
    <x:mergeCell ref="F44:J44"/>
    <x:mergeCell ref="F45:J45"/>
    <x:mergeCell ref="F46:J46"/>
    <x:mergeCell ref="F47:J47"/>
    <x:mergeCell ref="F48:J48"/>
    <x:mergeCell ref="C50:J50"/>
    <x:mergeCell ref="C51:J51"/>
    <x:mergeCell ref="C52:J52"/>
    <x:mergeCell ref="C54:J54"/>
  </x:mergeCells>
  <x:pageMargins left="0.7" right="0.7" top="0.75" bottom="0.75" header="0.3" footer="0.3"/>
</x:worksheet>
</file>